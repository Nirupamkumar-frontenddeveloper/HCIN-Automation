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6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4.xml" ContentType="application/vnd.openxmlformats-officedocument.spreadsheetml.worksheet+xml"/>
  <Override PartName="/xl/worksheets/sheet3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60.xml" ContentType="application/vnd.openxmlformats-officedocument.spreadsheetml.comments+xml"/>
  <Override PartName="/xl/comments61.xml" ContentType="application/vnd.openxmlformats-officedocument.spreadsheetml.comments+xml"/>
  <Override PartName="/xl/comments6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6440" firstSheet="3" activeTab="3"/>
  </bookViews>
  <sheets>
    <sheet sheetId="63" name="General Information" state="hidden" r:id="rId4"/>
    <sheet sheetId="1" name="MainSheet" state="hidden" r:id="rId5"/>
    <sheet sheetId="2" name="StartUp" state="hidden" r:id="rId6"/>
    <sheet sheetId="60" name="Sec-1 Exp_LargeBorr" state="visible" r:id="rId7"/>
    <sheet sheetId="61" name="Sec-2 WriteOff" state="visible" r:id="rId8"/>
    <sheet sheetId="62" name="Sec-3 NonCo-op Borr" state="visible" r:id="rId9"/>
    <sheet sheetId="64" name="Authorised Signatory" state="visible" r:id="rId10"/>
    <sheet sheetId="3" name="Data" state="veryHidden" r:id="rId11"/>
    <sheet sheetId="36" name="+FootnoteTexts" state="veryHidden" r:id="rId12"/>
    <sheet sheetId="37" name="+Elements" state="veryHidden" r:id="rId13"/>
    <sheet sheetId="39" name="+Lineitems" state="veryHidden" r:id="rId14"/>
  </sheets>
  <definedNames>
    <definedName name="datasheet_1_13">Data!$A$1:$A$12</definedName>
    <definedName name="datasheet_1_25">Data!$A$13:$A$24</definedName>
    <definedName name="datasheet_1_26">Data!$A$25</definedName>
    <definedName name="datasheet_1_38">Data!$A$26:$A$37</definedName>
    <definedName name="datasheet_1_40">Data!$A$38:$A$39</definedName>
    <definedName name="datasheet_1_42">Data!$A$40:$A$41</definedName>
    <definedName name="ScaleList">StartUp!$L$1:$L$5</definedName>
    <definedName name="UnitList">StartUp!$K$1:$K$172</definedName>
  </definedNames>
  <calcPr calcId="171027"/>
</workbook>
</file>

<file path=xl/comments60.xml><?xml version="1.0" encoding="utf-8"?>
<comments xmlns="http://schemas.openxmlformats.org/spreadsheetml/2006/main">
  <authors>
    <author>Author</author>
  </authors>
  <commentList>
    <comment ref="S35" authorId="0">
      <text>
        <r>
          <rPr>
            <b/>
            <color indexed="81"/>
            <family val="2"/>
            <sz val="9"/>
            <rFont val="Tahoma"/>
          </rPr>
          <t>[Date Format: dd/MM/yyyy]Please double click to show the popup</t>
        </r>
      </text>
    </comment>
    <comment ref="T35" authorId="0">
      <text>
        <r>
          <rPr>
            <b/>
            <color indexed="81"/>
            <family val="2"/>
            <sz val="9"/>
            <rFont val="Tahoma"/>
          </rPr>
          <t>[Date Format: dd/MM/yyyy]Please double click to show the popup</t>
        </r>
      </text>
    </comment>
    <comment ref="W35" authorId="0">
      <text>
        <r>
          <rPr>
            <b/>
            <color indexed="81"/>
            <family val="2"/>
            <sz val="9"/>
            <rFont val="Tahoma"/>
          </rPr>
          <t>[Date Format: dd/MM/yyyy]Please double click to show the popup</t>
        </r>
      </text>
    </comment>
    <comment ref="Y35" authorId="0">
      <text>
        <r>
          <rPr>
            <b/>
            <color indexed="81"/>
            <family val="2"/>
            <sz val="9"/>
            <rFont val="Tahoma"/>
          </rPr>
          <t>[Date Format: dd/MM/yyyy]Please double click to show the popup</t>
        </r>
      </text>
    </comment>
    <comment ref="Z35" authorId="0">
      <text>
        <r>
          <rPr>
            <b/>
            <color indexed="81"/>
            <family val="2"/>
            <sz val="9"/>
            <rFont val="Tahoma"/>
          </rPr>
          <t>[Date Format: dd/MM/yyyy]Please double click to show the popup</t>
        </r>
      </text>
    </comment>
    <comment ref="AB35" authorId="0">
      <text>
        <r>
          <rPr>
            <b/>
            <color indexed="81"/>
            <family val="2"/>
            <sz val="9"/>
            <rFont val="Tahoma"/>
          </rPr>
          <t>[Date Format: dd/MM/yyyy]Please double click to show the popup</t>
        </r>
      </text>
    </comment>
    <comment ref="BM35" authorId="0">
      <text>
        <r>
          <rPr>
            <b/>
            <color indexed="81"/>
            <family val="2"/>
            <sz val="9"/>
            <rFont val="Tahoma"/>
          </rPr>
          <t>[Date Format: dd/MM/yyyy]Please double click to show the popup</t>
        </r>
      </text>
    </comment>
  </commentList>
</comments>
</file>

<file path=xl/comments61.xml><?xml version="1.0" encoding="utf-8"?>
<comments xmlns="http://schemas.openxmlformats.org/spreadsheetml/2006/main">
  <authors>
    <author>Author</author>
  </authors>
  <commentList>
    <comment ref="M26" authorId="0">
      <text>
        <r>
          <rPr>
            <b/>
            <color indexed="81"/>
            <family val="2"/>
            <sz val="9"/>
            <rFont val="Tahoma"/>
          </rPr>
          <t>[Date Format: dd/MM/yyyy]Please double click to show the popup</t>
        </r>
      </text>
    </comment>
  </commentList>
</comments>
</file>

<file path=xl/comments64.xml><?xml version="1.0" encoding="utf-8"?>
<comments xmlns="http://schemas.openxmlformats.org/spreadsheetml/2006/main">
  <authors>
    <author>Author</author>
  </authors>
  <commentList>
    <comment ref="E12" authorId="0">
      <text>
        <r>
          <rPr>
            <b/>
            <color indexed="81"/>
            <family val="2"/>
            <sz val="9"/>
            <rFont val="Tahoma"/>
          </rPr>
          <t xml:space="preserve">[Unit: PURE]
[Scale: Actuals]
</t>
        </r>
      </text>
    </comment>
    <comment ref="E13" authorId="0">
      <text>
        <r>
          <rPr>
            <b/>
            <color indexed="81"/>
            <family val="2"/>
            <sz val="9"/>
            <rFont val="Tahoma"/>
          </rPr>
          <t xml:space="preserve">[Unit: PURE]
[Scale: Actuals]
</t>
        </r>
      </text>
    </comment>
  </commentList>
</comments>
</file>

<file path=xl/sharedStrings.xml><?xml version="1.0" encoding="utf-8"?>
<sst xmlns="http://schemas.openxmlformats.org/spreadsheetml/2006/main" count="839" uniqueCount="661">
  <si>
    <t>c588e1c3-5f35-4cd6-b9cb-9cb8ac88e19d:~:NotMandatory:~:True:~:False:~::~::~:False:~::~::~:False:~::~::~:</t>
  </si>
  <si>
    <t>General Information</t>
  </si>
  <si>
    <t>52683c91-1eeb-4090-835f-73974e35f0d7:~:geninfo:~:NotMandatory:~:True:~::~:</t>
  </si>
  <si>
    <t>#LAYOUTSCSR#</t>
  </si>
  <si>
    <t>#CustPlc#</t>
  </si>
  <si>
    <t>#TABLE#</t>
  </si>
  <si>
    <t>#LAYOUTECSR#</t>
  </si>
  <si>
    <t>in-rbi-rep.xsd#in-rbi-rep_ReturnName</t>
  </si>
  <si>
    <t>Return Name</t>
  </si>
  <si>
    <t>CRILC - Main NBFC</t>
  </si>
  <si>
    <t>in-rbi-rep.xsd#in-rbi-rep_ReturnCode</t>
  </si>
  <si>
    <t>Return Code</t>
  </si>
  <si>
    <t>DNBS-8</t>
  </si>
  <si>
    <t>in-rbi-rep.xsd#in-rbi-rep_BankCode</t>
  </si>
  <si>
    <t>NBFC Code</t>
  </si>
  <si>
    <t>in-rbi-rep.xsd#in-rbi-rep_NameOfRegisteredOffice</t>
  </si>
  <si>
    <t>Name of Registered RBI Office</t>
  </si>
  <si>
    <t>in-rbi-rep.xsd#in-rbi-rep_NameOfReportingInstitution</t>
  </si>
  <si>
    <t>Name of the Reporting Institution</t>
  </si>
  <si>
    <t>in-rbi-rep.xsd#in-rbi-rep_ReportForThePeriodEnded</t>
  </si>
  <si>
    <t>Report for the Month Ended As On</t>
  </si>
  <si>
    <t>in-rbi-rep.xsd#in-rbi-rep_ReportingFrequency</t>
  </si>
  <si>
    <t>Reporting Frequency</t>
  </si>
  <si>
    <t>Monthly</t>
  </si>
  <si>
    <t>in-rbi-rep.xsd#in-rbi-rep_ReportStatus</t>
  </si>
  <si>
    <t>Report Status</t>
  </si>
  <si>
    <t>in-rbi-rep.xsd#in-rbi-rep_DateOfAudit</t>
  </si>
  <si>
    <t>Date of Audit</t>
  </si>
  <si>
    <t>in-rbi-rep.xsd#in-rbi-rep_ReturnVersion</t>
  </si>
  <si>
    <t>Return Version</t>
  </si>
  <si>
    <t>V2.0</t>
  </si>
  <si>
    <t>in-rbi-rep.xsd#in-rbi-rep_WhetherNilReporting</t>
  </si>
  <si>
    <t>Nil Reporting</t>
  </si>
  <si>
    <t>in-rbi-rep.xsd#in-rbi-rep_GeneralRemarks</t>
  </si>
  <si>
    <t>General Remarks</t>
  </si>
  <si>
    <t>in-rbi-rep.xsd#in-rbi-rep_ReportingPeriodStartDate</t>
  </si>
  <si>
    <t>StartDate</t>
  </si>
  <si>
    <t>#LAYOUTSCER#</t>
  </si>
  <si>
    <t>#LAYOUTECER#</t>
  </si>
  <si>
    <t>Note: Enter upto 2 digits after decimal.</t>
  </si>
  <si>
    <t xml:space="preserve">&lt;ProjectConfig&gt;
  &lt;add key="PackageName" value="RBI-CRILC-NBFC" /&gt;
  &lt;add key="PackageDescription" value="Report on Large Credits" /&gt;
  &lt;add key="PackageAuthor" value="IRIS" /&gt;
  &lt;add key="CreatedOn" value="20/05/2013" /&gt;
  &lt;add key="PackageVersion" value="V1.2" /&gt;
  &lt;add key="SecurityCode" value="3meE/gFr0EsjU77r6hBiRqWUJGgK5GtZCCrkOS9M0dfKiVLdJxsy3pMTkzjahTAUilsLshI+ocBXevL8auGqmg==" /&gt;
  &lt;add key="TaxonomyPath" value="C:\RBIXBRLForms\Form CRILC NBFC\1.0.5\iFileApp2\\Taxonomy\CRILC\in-rbi-CRILC.xsd" /&gt;
  &lt;add key="PublishPath" value="" /&gt;
  &lt;add key="Culture" value="en-GB" /&gt;
  &lt;add key="Scheme" value="" /&gt;
  &lt;add key="ProjectMode" value="Package" /&gt;
  &lt;add key="StartupSheet" value="Introduction" /&gt;
  &lt;add key="VersionNo" value="V2.0" /&gt;
&lt;/ProjectConfig&gt;</t>
  </si>
  <si>
    <t>{9D464D58-4FAD-4758-A826-6A433BFB4418}</t>
  </si>
  <si>
    <t xml:space="preserve">&lt;PrefixNamespace&gt;
  &lt;add key="Prefix" value="cmp" /&gt;
  &lt;add key="Namespace" value="" /&gt;
  &lt;add key="Scheme" value="" /&gt;
  &lt;add key="SchemaFileName" value="" /&gt;
&lt;/PrefixNamespace&gt;</t>
  </si>
  <si>
    <t>AFN</t>
  </si>
  <si>
    <t>Afghanistan, Afghanis</t>
  </si>
  <si>
    <t>Actuals</t>
  </si>
  <si>
    <t>ALL</t>
  </si>
  <si>
    <t>Albania, Leke</t>
  </si>
  <si>
    <t>Thousands</t>
  </si>
  <si>
    <t>DZD</t>
  </si>
  <si>
    <t>Algeria, Algeria Dinars</t>
  </si>
  <si>
    <t>Lakhs</t>
  </si>
  <si>
    <t>AOA</t>
  </si>
  <si>
    <t>Angola, Kwanza</t>
  </si>
  <si>
    <t>Millions</t>
  </si>
  <si>
    <t>ARS</t>
  </si>
  <si>
    <t>Argentina, Pesos</t>
  </si>
  <si>
    <t>Billions</t>
  </si>
  <si>
    <t>Default Unit</t>
  </si>
  <si>
    <t>India, Rupees</t>
  </si>
  <si>
    <t>AMD</t>
  </si>
  <si>
    <t>Armenia, Drams</t>
  </si>
  <si>
    <t>Default Scale</t>
  </si>
  <si>
    <t>AWG</t>
  </si>
  <si>
    <t>Aruba, Guilders (also called Florins)</t>
  </si>
  <si>
    <t>Current Period</t>
  </si>
  <si>
    <t>Start Date</t>
  </si>
  <si>
    <t>AUD</t>
  </si>
  <si>
    <t>Australia, Dollars</t>
  </si>
  <si>
    <t>End Date</t>
  </si>
  <si>
    <t>AZN</t>
  </si>
  <si>
    <t>Azerbaijan, New Manats</t>
  </si>
  <si>
    <t>Previous Period</t>
  </si>
  <si>
    <t>BSD</t>
  </si>
  <si>
    <t>Bahamas, Dollars</t>
  </si>
  <si>
    <t>BHD</t>
  </si>
  <si>
    <t>Bahrain, Dinars</t>
  </si>
  <si>
    <t>Identifier</t>
  </si>
  <si>
    <t>BDT</t>
  </si>
  <si>
    <t>Bangladesh, Taka</t>
  </si>
  <si>
    <t>Language</t>
  </si>
  <si>
    <t>BBD</t>
  </si>
  <si>
    <t>Barbados, Dollars</t>
  </si>
  <si>
    <t>Previous To Previous Period</t>
  </si>
  <si>
    <t>BYR</t>
  </si>
  <si>
    <t>Belarus, Rubles</t>
  </si>
  <si>
    <t>BZD</t>
  </si>
  <si>
    <t>Belize, Dollars</t>
  </si>
  <si>
    <t>Bank Working Code</t>
  </si>
  <si>
    <t>BMD</t>
  </si>
  <si>
    <t>Bermuda, Dollars</t>
  </si>
  <si>
    <t>Bank Name</t>
  </si>
  <si>
    <t>BTN</t>
  </si>
  <si>
    <t>Bhutan, Ngultrum</t>
  </si>
  <si>
    <t>BOB</t>
  </si>
  <si>
    <t>Bolivia, Bolivianos</t>
  </si>
  <si>
    <t>Do Version Check</t>
  </si>
  <si>
    <t>BAM</t>
  </si>
  <si>
    <t>Bosnia and Herzegovina, Convertible Marka</t>
  </si>
  <si>
    <t>Seed year</t>
  </si>
  <si>
    <t>BWP</t>
  </si>
  <si>
    <t>Botswana, Pulas</t>
  </si>
  <si>
    <t>IsRevised</t>
  </si>
  <si>
    <t>BRL</t>
  </si>
  <si>
    <t>Brazil, Brazil Real</t>
  </si>
  <si>
    <t>BND</t>
  </si>
  <si>
    <t>Brunei Darussalam, Dollars</t>
  </si>
  <si>
    <t>No of Decimals</t>
  </si>
  <si>
    <t>28-Feb-2020</t>
  </si>
  <si>
    <t>BGN</t>
  </si>
  <si>
    <t>Bulgaria, Leva</t>
  </si>
  <si>
    <t>BIF</t>
  </si>
  <si>
    <t>Burundi, Francs</t>
  </si>
  <si>
    <t>KHR</t>
  </si>
  <si>
    <t>Cambodia, Riels</t>
  </si>
  <si>
    <t>CAD</t>
  </si>
  <si>
    <t>Canada, Dollars</t>
  </si>
  <si>
    <t>Retrun Name</t>
  </si>
  <si>
    <t>CVE</t>
  </si>
  <si>
    <t>Cape Verde, Escudos</t>
  </si>
  <si>
    <t>KYD</t>
  </si>
  <si>
    <t>Cayman Islands, Dollars</t>
  </si>
  <si>
    <t>NBFC</t>
  </si>
  <si>
    <t>CLP</t>
  </si>
  <si>
    <t>Chile, Pesos</t>
  </si>
  <si>
    <t>CNY</t>
  </si>
  <si>
    <t>China, Yuan Renminbi</t>
  </si>
  <si>
    <t>COP</t>
  </si>
  <si>
    <t>Colombia, Pesos</t>
  </si>
  <si>
    <t>XOF</t>
  </si>
  <si>
    <t>Communaute Financiere Africaine BCEAO, Francs</t>
  </si>
  <si>
    <t>XAF</t>
  </si>
  <si>
    <t>Communaute Financiere Africaine BEAC, Francs</t>
  </si>
  <si>
    <t>KMF</t>
  </si>
  <si>
    <t>Comoros, Francs</t>
  </si>
  <si>
    <t>XPF</t>
  </si>
  <si>
    <t>Comptoirs Francais du Pacifique Francs</t>
  </si>
  <si>
    <t>CDF</t>
  </si>
  <si>
    <t>Congo/Kinshasa, Congolese Francs</t>
  </si>
  <si>
    <t>CRC</t>
  </si>
  <si>
    <t>Costa Rica, Colones</t>
  </si>
  <si>
    <t>HRK</t>
  </si>
  <si>
    <t>Croatia, Kuna</t>
  </si>
  <si>
    <t>CUP</t>
  </si>
  <si>
    <t>Cuba, Pesos</t>
  </si>
  <si>
    <t>Name_Bank_Cmp</t>
  </si>
  <si>
    <t>Name_Autho_Dealer</t>
  </si>
  <si>
    <t>CYP</t>
  </si>
  <si>
    <t>Cyprus, Pounds (expires 2008-Jan-31)</t>
  </si>
  <si>
    <t>#End</t>
  </si>
  <si>
    <t>Sig_Autho_Signatory</t>
  </si>
  <si>
    <t>CZK</t>
  </si>
  <si>
    <t>Czech Republic, Koruny</t>
  </si>
  <si>
    <t>DKK</t>
  </si>
  <si>
    <t>Denmark, Kroner</t>
  </si>
  <si>
    <t>DJF</t>
  </si>
  <si>
    <t>Djibouti, Francs</t>
  </si>
  <si>
    <t>DOP</t>
  </si>
  <si>
    <t>Dominican Republic, Pesos</t>
  </si>
  <si>
    <t>XCD</t>
  </si>
  <si>
    <t>East Caribbean Dollars</t>
  </si>
  <si>
    <t>EGP</t>
  </si>
  <si>
    <t>Egypt, Pounds</t>
  </si>
  <si>
    <t>SVC</t>
  </si>
  <si>
    <t>El Salvador, Colones</t>
  </si>
  <si>
    <t>ERN</t>
  </si>
  <si>
    <t>Eritrea, Nakfa</t>
  </si>
  <si>
    <t>EEK</t>
  </si>
  <si>
    <t>Estonia, Krooni</t>
  </si>
  <si>
    <t>ETB</t>
  </si>
  <si>
    <t>Ethiopia, Birr</t>
  </si>
  <si>
    <t>EUR</t>
  </si>
  <si>
    <t>Euro Member Countries, Euro</t>
  </si>
  <si>
    <t>FKP</t>
  </si>
  <si>
    <t>Falkland Islands (Malvinas), Pounds</t>
  </si>
  <si>
    <t>FJD</t>
  </si>
  <si>
    <t>Fiji, Dollars</t>
  </si>
  <si>
    <t>GMD</t>
  </si>
  <si>
    <t>Gambia, Dalasi</t>
  </si>
  <si>
    <t>GEL</t>
  </si>
  <si>
    <t>Georgia, Lari</t>
  </si>
  <si>
    <t>GHS</t>
  </si>
  <si>
    <t>Ghana, Cedis</t>
  </si>
  <si>
    <t>GIP</t>
  </si>
  <si>
    <t>Gibraltar, Pounds</t>
  </si>
  <si>
    <t>XAU</t>
  </si>
  <si>
    <t>Gold, Ounces</t>
  </si>
  <si>
    <t>GTQ</t>
  </si>
  <si>
    <t>Guatemala, Quetzales</t>
  </si>
  <si>
    <t>GGP</t>
  </si>
  <si>
    <t>Guernsey, Pounds</t>
  </si>
  <si>
    <t>GNF</t>
  </si>
  <si>
    <t>Guinea, Francs</t>
  </si>
  <si>
    <t>GYD</t>
  </si>
  <si>
    <t>Guyana, Dollars</t>
  </si>
  <si>
    <t>HTG</t>
  </si>
  <si>
    <t>Haiti, Gourdes</t>
  </si>
  <si>
    <t>HNL</t>
  </si>
  <si>
    <t>Honduras, Lempiras</t>
  </si>
  <si>
    <t>HKD</t>
  </si>
  <si>
    <t>Hong Kong, Dollars</t>
  </si>
  <si>
    <t>HUF</t>
  </si>
  <si>
    <t>Hungary, Forint</t>
  </si>
  <si>
    <t>ISK</t>
  </si>
  <si>
    <t>Iceland, Kronur</t>
  </si>
  <si>
    <t>INR</t>
  </si>
  <si>
    <t>IDR</t>
  </si>
  <si>
    <t>Indonesia, Rupiahs</t>
  </si>
  <si>
    <t>XDR</t>
  </si>
  <si>
    <t>International Monetary Fund (IMF) Special Drawing Rights</t>
  </si>
  <si>
    <t>IRR</t>
  </si>
  <si>
    <t>Iran, Rials</t>
  </si>
  <si>
    <t>IQD</t>
  </si>
  <si>
    <t>Iraq, Dinars</t>
  </si>
  <si>
    <t>IMP</t>
  </si>
  <si>
    <t>Isle of Man, Pounds</t>
  </si>
  <si>
    <t>ILS</t>
  </si>
  <si>
    <t>Israel, New Shekels</t>
  </si>
  <si>
    <t>JMD</t>
  </si>
  <si>
    <t>Jamaica, Dollars</t>
  </si>
  <si>
    <t>JPY</t>
  </si>
  <si>
    <t>Japan, Yen</t>
  </si>
  <si>
    <t>JEP</t>
  </si>
  <si>
    <t>Jersey, Pounds</t>
  </si>
  <si>
    <t>JOD</t>
  </si>
  <si>
    <t>Jordan, Dinars</t>
  </si>
  <si>
    <t>KZT</t>
  </si>
  <si>
    <t>Kazakhstan, Tenge</t>
  </si>
  <si>
    <t>KES</t>
  </si>
  <si>
    <t>Kenya, Shillings</t>
  </si>
  <si>
    <t>KPW</t>
  </si>
  <si>
    <t>Korea (North), Won</t>
  </si>
  <si>
    <t>KRW</t>
  </si>
  <si>
    <t>Korea (South), Won</t>
  </si>
  <si>
    <t>KWD</t>
  </si>
  <si>
    <t>Kuwait, Dinars</t>
  </si>
  <si>
    <t>KGS</t>
  </si>
  <si>
    <t>Kyrgyzstan, Soms</t>
  </si>
  <si>
    <t>LAK</t>
  </si>
  <si>
    <t>Laos, Kips</t>
  </si>
  <si>
    <t>LVL</t>
  </si>
  <si>
    <t>Latvia, Lati</t>
  </si>
  <si>
    <t>LBP</t>
  </si>
  <si>
    <t>Lebanon, Pounds</t>
  </si>
  <si>
    <t>LSL</t>
  </si>
  <si>
    <t>Lesotho, Maloti</t>
  </si>
  <si>
    <t>LRD</t>
  </si>
  <si>
    <t>Liberia, Dollars</t>
  </si>
  <si>
    <t>LYD</t>
  </si>
  <si>
    <t>Libya, Dinars</t>
  </si>
  <si>
    <t>LTL</t>
  </si>
  <si>
    <t>Lithuania, Litai</t>
  </si>
  <si>
    <t>MOP</t>
  </si>
  <si>
    <t>Macau, Patacas</t>
  </si>
  <si>
    <t>MKD</t>
  </si>
  <si>
    <t>Macedonia, Denars</t>
  </si>
  <si>
    <t>MGA</t>
  </si>
  <si>
    <t>Madagascar, Ariary</t>
  </si>
  <si>
    <t>MWK</t>
  </si>
  <si>
    <t>Malawi, Kwachas</t>
  </si>
  <si>
    <t>MYR</t>
  </si>
  <si>
    <t>Malaysia, Ringgits</t>
  </si>
  <si>
    <t>MVR</t>
  </si>
  <si>
    <t>Maldives (Maldive Islands), Rufiyaa</t>
  </si>
  <si>
    <t>MTL</t>
  </si>
  <si>
    <t>Malta, Liri (expires 2008-Jan-31)</t>
  </si>
  <si>
    <t>MRO</t>
  </si>
  <si>
    <t>Mauritania, Ouguiyas</t>
  </si>
  <si>
    <t>MUR</t>
  </si>
  <si>
    <t>Mauritius, Rupees</t>
  </si>
  <si>
    <t>MXN</t>
  </si>
  <si>
    <t>Mexico, Pesos</t>
  </si>
  <si>
    <t>MDL</t>
  </si>
  <si>
    <t>Moldova, Lei</t>
  </si>
  <si>
    <t>MNT</t>
  </si>
  <si>
    <t>Mongolia, Tugriks</t>
  </si>
  <si>
    <t>MAD</t>
  </si>
  <si>
    <t>Morocco, Dirhams</t>
  </si>
  <si>
    <t>MZN</t>
  </si>
  <si>
    <t>Mozambique, Meticais</t>
  </si>
  <si>
    <t>MMK</t>
  </si>
  <si>
    <t>Myanmar (Burma), Kyats</t>
  </si>
  <si>
    <t>NAD</t>
  </si>
  <si>
    <t>Namibia, Dollars</t>
  </si>
  <si>
    <t>NPR</t>
  </si>
  <si>
    <t>Nepal, Nepal Rupees</t>
  </si>
  <si>
    <t>ANG</t>
  </si>
  <si>
    <t>Netherlands Antilles, Guilders (also called Florins)</t>
  </si>
  <si>
    <t>NZD</t>
  </si>
  <si>
    <t>New Zealand, Dollars</t>
  </si>
  <si>
    <t>NIO</t>
  </si>
  <si>
    <t>Nicaragua, Cordobas</t>
  </si>
  <si>
    <t>NGN</t>
  </si>
  <si>
    <t>Nigeria, Nairas</t>
  </si>
  <si>
    <t>NOK</t>
  </si>
  <si>
    <t>Norway, Krone</t>
  </si>
  <si>
    <t>OMR</t>
  </si>
  <si>
    <t>Oman, Rials</t>
  </si>
  <si>
    <t>PKR</t>
  </si>
  <si>
    <t>Pakistan, Rupees</t>
  </si>
  <si>
    <t>XPD</t>
  </si>
  <si>
    <t>Palladium Ounces</t>
  </si>
  <si>
    <t>PAB</t>
  </si>
  <si>
    <t>Panama, Balboa</t>
  </si>
  <si>
    <t>PGK</t>
  </si>
  <si>
    <t>Papua New Guinea, Kina</t>
  </si>
  <si>
    <t>PYG</t>
  </si>
  <si>
    <t>Paraguay, Guarani</t>
  </si>
  <si>
    <t>PEN</t>
  </si>
  <si>
    <t>Peru, Nuevos Soles</t>
  </si>
  <si>
    <t>PHP</t>
  </si>
  <si>
    <t>Philippines, Pesos</t>
  </si>
  <si>
    <t>XPT</t>
  </si>
  <si>
    <t>Platinum, Ounces</t>
  </si>
  <si>
    <t>PLN</t>
  </si>
  <si>
    <t>Poland, Zlotych</t>
  </si>
  <si>
    <t>QAR</t>
  </si>
  <si>
    <t>Qatar, Rials</t>
  </si>
  <si>
    <t>RON</t>
  </si>
  <si>
    <t>Romania, New Lei</t>
  </si>
  <si>
    <t>RUB</t>
  </si>
  <si>
    <t>Russia, Rubles</t>
  </si>
  <si>
    <t>RWF</t>
  </si>
  <si>
    <t>Rwanda, Rwanda Francs</t>
  </si>
  <si>
    <t>SHP</t>
  </si>
  <si>
    <t>Saint Helena, Pounds</t>
  </si>
  <si>
    <t>WST</t>
  </si>
  <si>
    <t>Samoa, Tala</t>
  </si>
  <si>
    <t>STD</t>
  </si>
  <si>
    <t>Sao Tome and Principe, Dobras</t>
  </si>
  <si>
    <t>SAR</t>
  </si>
  <si>
    <t>Saudi Arabia, Riyals</t>
  </si>
  <si>
    <t>SPL</t>
  </si>
  <si>
    <t>Seborga, Luigini</t>
  </si>
  <si>
    <t>RSD</t>
  </si>
  <si>
    <t>Serbia, Dinars</t>
  </si>
  <si>
    <t>SCR</t>
  </si>
  <si>
    <t>Seychelles, Rupees</t>
  </si>
  <si>
    <t>SLL</t>
  </si>
  <si>
    <t>Sierra Leone, Leones</t>
  </si>
  <si>
    <t>XAG</t>
  </si>
  <si>
    <t>Silver, Ounces</t>
  </si>
  <si>
    <t>SGD</t>
  </si>
  <si>
    <t>Singapore, Dollars</t>
  </si>
  <si>
    <t>SBD</t>
  </si>
  <si>
    <t>Solomon Islands, Dollars</t>
  </si>
  <si>
    <t>SOS</t>
  </si>
  <si>
    <t>Somalia, Shillings</t>
  </si>
  <si>
    <t>ZAR</t>
  </si>
  <si>
    <t>South Africa, Rand</t>
  </si>
  <si>
    <t>LKR</t>
  </si>
  <si>
    <t>Sri Lanka, Rupees</t>
  </si>
  <si>
    <t>SDG</t>
  </si>
  <si>
    <t>Sudan, Pounds</t>
  </si>
  <si>
    <t>SRD</t>
  </si>
  <si>
    <t>Suriname, Dollars</t>
  </si>
  <si>
    <t>SZL</t>
  </si>
  <si>
    <t>Swaziland, Emalangeni</t>
  </si>
  <si>
    <t>SEK</t>
  </si>
  <si>
    <t>Sweden, Kronor</t>
  </si>
  <si>
    <t>CHF</t>
  </si>
  <si>
    <t>Switzerland, Francs</t>
  </si>
  <si>
    <t>SYP</t>
  </si>
  <si>
    <t>Syria, Pounds</t>
  </si>
  <si>
    <t>TWD</t>
  </si>
  <si>
    <t>Taiwan, New Dollars</t>
  </si>
  <si>
    <t>TJS</t>
  </si>
  <si>
    <t>Tajikistan, Somoni</t>
  </si>
  <si>
    <t>TZS</t>
  </si>
  <si>
    <t>Tanzania, Shillings</t>
  </si>
  <si>
    <t>THB</t>
  </si>
  <si>
    <t>Thailand, Baht</t>
  </si>
  <si>
    <t>TOP</t>
  </si>
  <si>
    <t>Tonga, Paanga</t>
  </si>
  <si>
    <t>TTD</t>
  </si>
  <si>
    <t>Trinidad and Tobago, Dollars</t>
  </si>
  <si>
    <t>TND</t>
  </si>
  <si>
    <t>Tunisia, Dinars</t>
  </si>
  <si>
    <t>TRY</t>
  </si>
  <si>
    <t>Turkey, New Lira</t>
  </si>
  <si>
    <t>TMM</t>
  </si>
  <si>
    <t>Turkmenistan, Manats</t>
  </si>
  <si>
    <t>TVD</t>
  </si>
  <si>
    <t>Tuvalu, Tuvalu Dollars</t>
  </si>
  <si>
    <t>UGX</t>
  </si>
  <si>
    <t>Uganda, Shillings</t>
  </si>
  <si>
    <t>UAH</t>
  </si>
  <si>
    <t>Ukraine, Hryvnia</t>
  </si>
  <si>
    <t>AED</t>
  </si>
  <si>
    <t>United Arab Emirates, Dirhams</t>
  </si>
  <si>
    <t>GBP</t>
  </si>
  <si>
    <t>United Kingdom, Pounds</t>
  </si>
  <si>
    <t>USD</t>
  </si>
  <si>
    <t>United States of America, Dollars</t>
  </si>
  <si>
    <t>UYU</t>
  </si>
  <si>
    <t>Uruguay, Pesos</t>
  </si>
  <si>
    <t>UZS</t>
  </si>
  <si>
    <t>Uzbekistan, Sums</t>
  </si>
  <si>
    <t>VUV</t>
  </si>
  <si>
    <t>Vanuatu, Vatu</t>
  </si>
  <si>
    <t>VEB</t>
  </si>
  <si>
    <t>Venezuela, Bolivares (expires 2008-Jun-30)</t>
  </si>
  <si>
    <t>VEF</t>
  </si>
  <si>
    <t>Venezuela, Bolivares Fuertes</t>
  </si>
  <si>
    <t>VND</t>
  </si>
  <si>
    <t>Viet Nam, Dong</t>
  </si>
  <si>
    <t>YER</t>
  </si>
  <si>
    <t>Yemen, Rials</t>
  </si>
  <si>
    <t>ZMK</t>
  </si>
  <si>
    <t>Zambia, Kwacha</t>
  </si>
  <si>
    <t>ZWD</t>
  </si>
  <si>
    <t>Zimbabwe, Zimbabwe Dollars</t>
  </si>
  <si>
    <t>3a8ff96d-616c-40e6-8cc8-f11e91baf84b:~:NotMandatory:~:True:~:False:~::~::~:False:~::~::~:False:~::~::~:</t>
  </si>
  <si>
    <t>Section 1 - Exposure to Large Borrower</t>
  </si>
  <si>
    <t>07896767-3c09-4770-bb6d-00ef5634674a:~:CapitalFunds:~:NotMandatory:~:True:~::~:</t>
  </si>
  <si>
    <t>#STDT#</t>
  </si>
  <si>
    <t>#ENDT#</t>
  </si>
  <si>
    <t>Capital Funds of the NBFC</t>
  </si>
  <si>
    <t>(Rs. Lakh)</t>
  </si>
  <si>
    <t>in-rbi-rep.xsd#in-rbi-rep_RegulatoryCapital</t>
  </si>
  <si>
    <t>01-Jan-2019</t>
  </si>
  <si>
    <t>31-Mar-2019</t>
  </si>
  <si>
    <t>Regulatory Capital (Tier-I and Tier-II Capital) of previous March</t>
  </si>
  <si>
    <t>in-rbi-rep.xsd#in-rbi-rep_CapitalInfusion</t>
  </si>
  <si>
    <t>01-Apr-2019</t>
  </si>
  <si>
    <t>31-Jan-2020</t>
  </si>
  <si>
    <t>Capital Infusion during the period (April to date)</t>
  </si>
  <si>
    <t>Note: The regulatory capital as per extant guidelines on capital adequacy</t>
  </si>
  <si>
    <t>f97d9f97-2e4f-4769-95f4-8f68e553a23e:~:SectionDLAyout1:~:NotMandatory:~:True:~::~:</t>
  </si>
  <si>
    <t>in-rbi-rep.xsd#in-rbi-rep_LegalEntityIdentifier</t>
  </si>
  <si>
    <t>in-rbi-rep.xsd#in-rbi-rep_CorporateIdentityNumber</t>
  </si>
  <si>
    <t>in-rbi-rep.xsd#in-rbi-rep_SectorCodeMaster</t>
  </si>
  <si>
    <t>in-rbi-rep.xsd#in-rbi-rep_BankingArrangementMaster</t>
  </si>
  <si>
    <t>in-rbi-rep.xsd#in-rbi-rep_InternalRating</t>
  </si>
  <si>
    <t>in-rbi-rep.xsd#in-rbi-rep_ExternalRating</t>
  </si>
  <si>
    <t>in-rbi-rep.xsd#in-rbi-rep_AssetClassificationRLCMaster</t>
  </si>
  <si>
    <t>in-rbi-rep.xsd#in-rbi-rep_DateOfNPAClassifiaction</t>
  </si>
  <si>
    <t>in-rbi-rep.xsd#in-rbi-rep_DateFromWhichRestructuringSchemeBecameEfectiveIfAnyOfTheFacilityIsRestructured</t>
  </si>
  <si>
    <t>in-rbi-rep.xsd#in-rbi-rep_BorrowerClassificationMaster</t>
  </si>
  <si>
    <t>in-rbi-rep.xsd#in-rbi-rep_TypeOfSMAMaster</t>
  </si>
  <si>
    <t>in-rbi-rep.xsd#in-rbi-rep_DateOfSMAClassifiaction</t>
  </si>
  <si>
    <t>in-rbi-rep.xsd#in-rbi-rep_ResolutionPlanStatusMaster</t>
  </si>
  <si>
    <t>in-rbi-rep.xsd#in-rbi-rep_DateOfFilingWithNCLT</t>
  </si>
  <si>
    <t>in-rbi-rep.xsd#in-rbi-rep_DateOfAdmissionInNCLT</t>
  </si>
  <si>
    <t>in-rbi-rep.xsd#in-rbi-rep_LoanBuyoutOrTakeoverStatusMaster</t>
  </si>
  <si>
    <t>in-rbi-rep.xsd#in-rbi-rep_DateOfBuyoutOrTakeover</t>
  </si>
  <si>
    <t>in-rbi-rep.xsd#in-rbi-rep_AggregateWorkingCapitalLimitSanctionedForFundedExposure</t>
  </si>
  <si>
    <t>in-rbi-rep.xsd#in-rbi-rep_AggregateLimitSanctionedForFundedExposure</t>
  </si>
  <si>
    <t>in-rbi-rep.xsd#in-rbi-rep_AmountOutstandingForFundedExposureForCashAndCreditOverdraft</t>
  </si>
  <si>
    <t>in-rbi-rep.xsd#in-rbi-rep_AmountOutstandingForFundedExposureForWorkingCapitalDemandLoan</t>
  </si>
  <si>
    <t>in-rbi-rep.xsd#in-rbi-rep_AmountOutstandingForFundedExposureForInlandBills</t>
  </si>
  <si>
    <t>in-rbi-rep.xsd#in-rbi-rep_AmountOutstandingForFundedExposureForPackingCredit</t>
  </si>
  <si>
    <t>in-rbi-rep.xsd#in-rbi-rep_AmountOutstandingForFundedExposureForExportBills</t>
  </si>
  <si>
    <t>in-rbi-rep.xsd#in-rbi-rep_AmountOutstandingForFundedExposureForTermLoan</t>
  </si>
  <si>
    <t>in-rbi-rep.xsd#in-rbi-rep_AmountOutstandingForFundedExposureForBillsDiscountedInRespectOfSalesOnDeferredPaymentBasis</t>
  </si>
  <si>
    <t>in-rbi-rep.xsd#in-rbi-rep_AmountOutstandingForFundedExposureForOtherFundedExposures</t>
  </si>
  <si>
    <t>in-rbi-rep.xsd#in-rbi-rep_AggregateAmountOutstandingForFundedExposure</t>
  </si>
  <si>
    <t>in-rbi-rep.xsd#in-rbi-rep_AmountEligibleForNettingFromFundedExposure</t>
  </si>
  <si>
    <t>in-rbi-rep.xsd#in-rbi-rep_FundedCreditExposure</t>
  </si>
  <si>
    <t>in-rbi-rep.xsd#in-rbi-rep_AggregateAmountOutstandingForSecuredFundedExposure</t>
  </si>
  <si>
    <t>in-rbi-rep.xsd#in-rbi-rep_AggregateLimitSanctionedForNonFundedExposure</t>
  </si>
  <si>
    <t>in-rbi-rep.xsd#in-rbi-rep_AmountOutstandingForNonFundedExposureForLetterOfCredit</t>
  </si>
  <si>
    <t>in-rbi-rep.xsd#in-rbi-rep_AmountOutstandingForNonFundedExposureForGuarantees</t>
  </si>
  <si>
    <t>in-rbi-rep.xsd#in-rbi-rep_AmountOutstandingForNonFundedExposureForAcceptances</t>
  </si>
  <si>
    <t>in-rbi-rep.xsd#in-rbi-rep_AmountOfForeignExchangeContracts</t>
  </si>
  <si>
    <t>in-rbi-rep.xsd#in-rbi-rep_AmountOfInterestRateDerivativesIncludingForeignInterestRateDerivatives</t>
  </si>
  <si>
    <t>in-rbi-rep.xsd#in-rbi-rep_AmountOutstandingForFundedExposureForOtherNonFundedExposures</t>
  </si>
  <si>
    <t>in-rbi-rep.xsd#in-rbi-rep_AggregateAmountOutstandingForNonFundedExposure</t>
  </si>
  <si>
    <t>in-rbi-rep.xsd#in-rbi-rep_AmountEligibleForNettingFromNonFundedExposure</t>
  </si>
  <si>
    <t>in-rbi-rep.xsd#in-rbi-rep_NonFundedCreditExposure</t>
  </si>
  <si>
    <t>in-rbi-rep.xsd#in-rbi-rep_AggregateLimitSanctioned</t>
  </si>
  <si>
    <t>in-rbi-rep.xsd#in-rbi-rep_AggregateAmountOutstanding</t>
  </si>
  <si>
    <t>in-rbi-rep.xsd#in-rbi-rep_TotalAmountOutstandingOfWhichAdditionalFinanceClassifiedAsStandard</t>
  </si>
  <si>
    <t>in-rbi-rep.xsd#in-rbi-rep_AggregateCreditExposure</t>
  </si>
  <si>
    <t>in-rbi-rep.xsd#in-rbi-rep_AggregateCreditExposureAsPercentageOfCapitalFunds</t>
  </si>
  <si>
    <t>in-rbi-rep.xsd#in-rbi-rep_AggregateInvestmentExposure</t>
  </si>
  <si>
    <t>in-rbi-rep.xsd#in-rbi-rep_AggregateExposure</t>
  </si>
  <si>
    <t>in-rbi-rep.xsd#in-rbi-rep_OfTotalExposureForeignCurrencyExposure</t>
  </si>
  <si>
    <t>in-rbi-rep.xsd#in-rbi-rep_AggregateExposureAsPercentageOfCapitalFunds</t>
  </si>
  <si>
    <t>in-rbi-rep.xsd#in-rbi-rep_AmountOfAggregateProvisionsHeldForNPAs</t>
  </si>
  <si>
    <t>in-rbi-rep.xsd#in-rbi-rep_AmountOfUnsecuredAmountOutstandingOfTotalAmountOutstanding</t>
  </si>
  <si>
    <t>in-rbi-rep.xsd#in-rbi-rep_AmountWrittenOffOutstandingInTheBooksOfTheBank</t>
  </si>
  <si>
    <t>in-rbi-rep.xsd#in-rbi-rep_DateWhenPrudentiallyOrTechnicallyWrittenOff</t>
  </si>
  <si>
    <t>in-rbi-rep.xsd#in-rbi-rep_CustomerPermanentAccountNumberAxis</t>
  </si>
  <si>
    <t>in-rbi-rep.xsd#in-rbi-rep_CustomerNameAxis</t>
  </si>
  <si>
    <t>in-rbi-rep.xsd#in-rbi-rep_GroupBorrowerCode</t>
  </si>
  <si>
    <t>in-rbi-rep.xsd#in-rbi-rep_GroupAxis</t>
  </si>
  <si>
    <t>in-rbi-rep.xsd#in-rbi-rep_IndustryCodeAxis</t>
  </si>
  <si>
    <t>in-rbi-rep.xsd#in-rbi-rep_IndustryNameAxis</t>
  </si>
  <si>
    <t>in-rbi-rep.xsd#in-rbi-rep_LeadBankNameAxis</t>
  </si>
  <si>
    <t>#SERIAL#</t>
  </si>
  <si>
    <t>#TYPDIM#</t>
  </si>
  <si>
    <t>Section 1 - Exposure to Large Borrowers (Global Operations, i.e., Domestic Operations and/or Overseas Operations of NBFC, if any)</t>
  </si>
  <si>
    <t>(Amount in Rs. Lakh)</t>
  </si>
  <si>
    <t>Sr No.</t>
  </si>
  <si>
    <t>PAN Number*</t>
  </si>
  <si>
    <t>Borrower/Customer Name*</t>
  </si>
  <si>
    <t>LEI</t>
  </si>
  <si>
    <t>CIN</t>
  </si>
  <si>
    <t>Borrower Group Code*</t>
  </si>
  <si>
    <t>Group Name*</t>
  </si>
  <si>
    <t>Industry Code*</t>
  </si>
  <si>
    <t>Industry Name*</t>
  </si>
  <si>
    <t>Sector Code*</t>
  </si>
  <si>
    <t>Banking Arrangement*</t>
  </si>
  <si>
    <t>Lead Bank Name*</t>
  </si>
  <si>
    <t>Internal Rating</t>
  </si>
  <si>
    <t>External Rating*</t>
  </si>
  <si>
    <t>Assets Classification*</t>
  </si>
  <si>
    <t>Date of NPA Classification</t>
  </si>
  <si>
    <t>Date from which Restructuring Scheme became effective, if any of the facility is restructured (DD/MM/YYYY)</t>
  </si>
  <si>
    <t>Borrower Classified as Wilful Default*</t>
  </si>
  <si>
    <t>Special Mention Accounts(SMA)*</t>
  </si>
  <si>
    <t>Date of SMA Classification</t>
  </si>
  <si>
    <t>Resolution Plan Status*</t>
  </si>
  <si>
    <t>Date of filing with NCLT</t>
  </si>
  <si>
    <t>Date of admission in NCLT</t>
  </si>
  <si>
    <t>Loan Buyout/Takeover Status</t>
  </si>
  <si>
    <t>Date of Buyout/Takeover</t>
  </si>
  <si>
    <t>Aggregate Fund based Working Capital Limit</t>
  </si>
  <si>
    <t>Limit Sanctioned - Funded</t>
  </si>
  <si>
    <t>Amount Outstanding - Funded</t>
  </si>
  <si>
    <t>Amount Eligible for netting from Funded Exposure</t>
  </si>
  <si>
    <t>Funded Credit Exposure</t>
  </si>
  <si>
    <t>Secured Funded Amount</t>
  </si>
  <si>
    <t>Limit Sanctioned - Non Funded</t>
  </si>
  <si>
    <t>Amount Outstanding - Non Funded</t>
  </si>
  <si>
    <t>Amount Eligible for netting from Non Funded Exposure</t>
  </si>
  <si>
    <t>Non Funded Credit Exposure</t>
  </si>
  <si>
    <t>Total Limit Sanctioned to the Borrower</t>
  </si>
  <si>
    <t>Total Amount Outstanding (Funded + Non Funded)</t>
  </si>
  <si>
    <t>Of Which Additional Finance Which are Classified as Standard</t>
  </si>
  <si>
    <t>Total Credit Exposure (TCE)</t>
  </si>
  <si>
    <t>TCE as % of Capital Funds</t>
  </si>
  <si>
    <t>Total Investment Exposure</t>
  </si>
  <si>
    <t>Total Exposure (TE)</t>
  </si>
  <si>
    <t xml:space="preserve">of TE, Foreign currency Exposure </t>
  </si>
  <si>
    <t>TE as % of Capital Funds</t>
  </si>
  <si>
    <t>Total Provisions Held For NPAs</t>
  </si>
  <si>
    <t>Of the Total Amount Outstanding (Funded and Non-Funded), Unsecured Amount Outstanding</t>
  </si>
  <si>
    <t>Amount technically/prudentially Written Off - Outstanding in memo/shadow heads, etc</t>
  </si>
  <si>
    <t>Date When Prudentially / Technically Written Off  (DD/MM/YYYY)</t>
  </si>
  <si>
    <t>Cash Credit/ Overdraft</t>
  </si>
  <si>
    <t>Working Capital Demand Loan</t>
  </si>
  <si>
    <t>Inland Bills</t>
  </si>
  <si>
    <t>Packing Credit</t>
  </si>
  <si>
    <t>Export Bills</t>
  </si>
  <si>
    <t>Term Loan</t>
  </si>
  <si>
    <t>Bills discounted in respect of sales on deferred payment basis</t>
  </si>
  <si>
    <t>Other Funded Outstanding</t>
  </si>
  <si>
    <t>Total Funded - Outstanding</t>
  </si>
  <si>
    <t>Letter of Credit</t>
  </si>
  <si>
    <t>Guarantees</t>
  </si>
  <si>
    <t>Acceptances</t>
  </si>
  <si>
    <t>Foreign Exchange Contracts</t>
  </si>
  <si>
    <t>Interest Rate Derivatives (incl FX Interest Rate Derivatives)</t>
  </si>
  <si>
    <t>Other Non-Funded Outstanding</t>
  </si>
  <si>
    <t>Total Non Funded - Outstanding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</si>
  <si>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</si>
  <si>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</si>
  <si>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</si>
  <si>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</si>
  <si>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</si>
  <si>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</si>
  <si>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</si>
  <si>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</si>
  <si>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</si>
  <si>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</si>
  <si>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</si>
  <si>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</si>
  <si>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</si>
  <si>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</si>
  <si>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</si>
  <si>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</si>
  <si>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</si>
  <si>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</si>
  <si>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</si>
  <si>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</si>
  <si>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</si>
  <si>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</si>
  <si>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</si>
  <si>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</si>
  <si>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</si>
  <si>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</si>
  <si>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</si>
  <si>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</si>
  <si>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</si>
  <si>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</si>
  <si>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</si>
  <si>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</si>
  <si>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</si>
  <si>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</si>
  <si>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</si>
  <si>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</si>
  <si>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</si>
  <si>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</si>
  <si>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</si>
  <si>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</si>
  <si>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</si>
  <si>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</si>
  <si>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</si>
  <si>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</si>
  <si>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</si>
  <si>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</si>
  <si>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</si>
  <si>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</si>
  <si>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</si>
  <si>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</si>
  <si>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AY</t>
  </si>
  <si>
    <t>AZ</t>
  </si>
  <si>
    <t>BA</t>
  </si>
  <si>
    <t>BB</t>
  </si>
  <si>
    <t>BC</t>
  </si>
  <si>
    <t>BD</t>
  </si>
  <si>
    <t>BE</t>
  </si>
  <si>
    <t>BF</t>
  </si>
  <si>
    <t>BG</t>
  </si>
  <si>
    <t>BH</t>
  </si>
  <si>
    <t>BI</t>
  </si>
  <si>
    <t>BJ</t>
  </si>
  <si>
    <t>259cb9fe-b7f7-4953-8913-224cc914f60a:~:LytTotal1:~:NotMandatory:~:True:~::~:</t>
  </si>
  <si>
    <t>in-rbi-rep.xsd#in-rbi-rep_LargeCreditAxis::in-rbi-rep.xsd#in-rbi-rep_LargeBorrowalAccountsMember:::in-rbi-rep.xsd#in-rbi-rep_RegionOfBusinessAxis::in-rbi-rep.xsd#in-rbi-rep_GlobalMember</t>
  </si>
  <si>
    <t>Total</t>
  </si>
  <si>
    <t>Section 2 - Reporting of Technically/Prudentially Written-off Accounts</t>
  </si>
  <si>
    <t>Section 2 - Reporting of Technically/Prudentially Written-off Accounts (Global Operations, i.e., Domestic Operations and/or Overseas Operations of NBFC, if any)</t>
  </si>
  <si>
    <t>in-rbi-rep.xsd#in-rbi-rep_ReportingOfTechnicallyOrPrudentiallyWrittenOffAccountsAxis::in-rbi-rep.xsd#in-rbi-rep_ReportingOfTechnicallyOrPrudentiallyWrittenOffAccountsMember</t>
  </si>
  <si>
    <t>2aceb652-69ce-49a9-b986-cad5759325e5:~:NotMandatory:~:True:~:False:~::~::~:False:~::~::~:False:~::~::~:</t>
  </si>
  <si>
    <t>Section 3: Reporting of Non co-operative Borrowers</t>
  </si>
  <si>
    <t>0c3b200b-87ab-4f98-94a8-fea993a861a9:~:NonCo-opBorr:~:NotMandatory:~:True:~::~:</t>
  </si>
  <si>
    <t>in-rbi-rep.xsd#in-rbi-rep_ReasonsForCategorisingAsNonCooperativeBorrower</t>
  </si>
  <si>
    <t>in-rbi-rep.xsd#in-rbi-rep_DirectorIdentificationNumber</t>
  </si>
  <si>
    <t>in-rbi-rep.xsd#in-rbi-rep_StatusOfDirector</t>
  </si>
  <si>
    <t>in-rbi-rep.xsd#in-rbi-rep_NameOfDirectorAxis</t>
  </si>
  <si>
    <t>PAN Borrower</t>
  </si>
  <si>
    <t>Borrower Name</t>
  </si>
  <si>
    <t>Total Exposure</t>
  </si>
  <si>
    <t>Reasons for Categorising as Non - Cooperative Borrower **</t>
  </si>
  <si>
    <t>Full Name of Directors/ Partners/ Sole Proprietor</t>
  </si>
  <si>
    <t>Director Identification Number</t>
  </si>
  <si>
    <t xml:space="preserve">Status *** </t>
  </si>
  <si>
    <t>f9990231-f1a5-4a01-bbe2-a2163f6a2bcb:~:NotMandatory:~:True:~:False:~::~::~:False:~::~::~:False:~::~::~:</t>
  </si>
  <si>
    <t>Authorised Signatory</t>
  </si>
  <si>
    <t>1375dcfe-eedb-4fc0-a018-44059bad0705:~:Signatory:~:NotMandatory:~:True:~::~:</t>
  </si>
  <si>
    <t>in-rbi-rep.xsd#in-rbi-rep_NameOfSignatory</t>
  </si>
  <si>
    <t>Name</t>
  </si>
  <si>
    <t>in-rbi-rep.xsd#in-rbi-rep_DesignationOfSignatory</t>
  </si>
  <si>
    <t>Designation</t>
  </si>
  <si>
    <t>in-rbi-rep.xsd#in-rbi-rep_AuthorisedSignatoryMobileNumber@http://www.xbrl.org/2003/role/terseLabel</t>
  </si>
  <si>
    <t>Mobile No.</t>
  </si>
  <si>
    <t>in-rbi-rep.xsd#in-rbi-rep_AuthorisedSignatoryLandlineNumber@http://www.xbrl.org/2003/role/terseLabel</t>
  </si>
  <si>
    <t>Landline No.</t>
  </si>
  <si>
    <t>in-rbi-rep.xsd#in-rbi-rep_EMailIDOfAuthorisedReportingOfficial</t>
  </si>
  <si>
    <t>E-mail Id</t>
  </si>
  <si>
    <t>fn_H7_0_25042012</t>
  </si>
  <si>
    <t>form</t>
  </si>
  <si>
    <t>in-baselII-2010-06-30.xsd#in-baselII_CapitalChargeAmount</t>
  </si>
  <si>
    <t>http://www.xbrl.org/2003/role/label</t>
  </si>
  <si>
    <t>Amount of Capital Charge</t>
  </si>
  <si>
    <t>fn_I7_1_25042012</t>
  </si>
  <si>
    <t>in-baselII-2010-06-30.xsd#in-baselII_ValueTransferredPlusReplacementCostFailedNonDeliveryVersusPaymentTransactions</t>
  </si>
  <si>
    <t>Amount of Value Transferred Plus Replacement Cost of Failed Non-Delivery Versus Payment Transactions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</si>
</sst>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&quot;$&quot;* #,##0.00_);_(&quot;$&quot;* (#,##0.00);_(&quot;$&quot;* &quot;-&quot;??_);_(@_)"/>
    <numFmt numFmtId="165" formatCode="dd-mmm-yyyy"/>
    <numFmt numFmtId="166" formatCode="0.0000%"/>
  </numFmts>
  <fonts count="14" x14ac:knownFonts="1">
    <font>
      <color theme="1"/>
      <family val="2"/>
      <scheme val="minor"/>
      <sz val="11"/>
      <name val="Calibri"/>
    </font>
    <font>
      <color indexed="9"/>
      <family val="2"/>
      <sz val="11"/>
      <name val="Calibri"/>
    </font>
    <font>
      <u/>
      <color indexed="9"/>
      <family val="2"/>
      <sz val="20"/>
      <name val="Calibri"/>
    </font>
    <font>
      <b/>
      <color indexed="8"/>
      <family val="2"/>
      <sz val="11"/>
      <name val="Calibri"/>
    </font>
    <font>
      <color indexed="8"/>
      <family val="2"/>
      <sz val="11"/>
      <name val="Calibri"/>
    </font>
    <font>
      <b/>
      <color theme="0"/>
      <family val="2"/>
      <sz val="11"/>
      <name val="Calibri"/>
    </font>
    <font>
      <color theme="0"/>
      <family val="2"/>
      <sz val="11"/>
      <name val="Calibri"/>
    </font>
    <font>
      <b/>
      <family val="2"/>
      <sz val="10"/>
      <name val="Arial"/>
    </font>
    <font>
      <b/>
      <color indexed="8"/>
      <family val="2"/>
      <sz val="14"/>
      <name val="Calibri"/>
    </font>
    <font>
      <color indexed="8"/>
      <family val="2"/>
      <sz val="12"/>
      <name val="Calibri"/>
    </font>
    <font>
      <family val="2"/>
      <sz val="11"/>
      <name val="Calibri"/>
    </font>
    <font>
      <b/>
      <color indexed="8"/>
      <family val="2"/>
      <sz val="12"/>
      <name val="Calibri"/>
    </font>
    <font>
      <family val="2"/>
      <sz val="12"/>
      <name val="Calibri"/>
    </font>
    <font>
      <color theme="0"/>
      <family val="2"/>
      <scheme val="minor"/>
      <sz val="11"/>
      <name val="Calibri"/>
    </font>
  </fonts>
  <fills count="1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22"/>
      </patternFill>
    </fill>
    <fill>
      <patternFill patternType="solid">
        <fgColor indexed="44"/>
        <bgColor indexed="64"/>
      </patternFill>
    </fill>
    <fill>
      <patternFill patternType="lightHorizontal">
        <fgColor indexed="22"/>
        <bgColor indexed="43"/>
      </patternFill>
    </fill>
    <fill>
      <patternFill patternType="solid">
        <fgColor indexed="22"/>
        <bgColor indexed="22"/>
      </patternFill>
    </fill>
    <fill>
      <patternFill patternType="lightHorizontal">
        <fgColor indexed="2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2"/>
      </patternFill>
    </fill>
    <fill>
      <patternFill patternType="solid">
        <fgColor indexed="9"/>
        <bgColor indexed="64"/>
      </patternFill>
    </fill>
    <fill>
      <patternFill patternType="lightUp">
        <fgColor indexed="22"/>
        <bgColor indexed="9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shrinkToFit="1"/>
    </xf>
    <xf numFmtId="0" fontId="1" fillId="0" borderId="2" xfId="0" applyFont="1" applyBorder="1" applyAlignment="1">
      <alignment shrinkToFit="1"/>
    </xf>
    <xf numFmtId="0" fontId="3" fillId="3" borderId="3" xfId="0" applyFont="1" applyFill="1" applyBorder="1" applyAlignment="1">
      <alignment horizontal="left" vertical="top" wrapText="1" shrinkToFit="1"/>
    </xf>
    <xf numFmtId="0" fontId="4" fillId="4" borderId="3" xfId="0" applyFont="1" applyFill="1" applyBorder="1" applyAlignment="1">
      <alignment horizontal="left" wrapText="1" shrinkToFit="1"/>
    </xf>
    <xf numFmtId="49" fontId="4" fillId="4" borderId="3" xfId="0" applyNumberFormat="1" applyFont="1" applyFill="1" applyBorder="1" applyAlignment="1">
      <alignment horizontal="left" wrapText="1" shrinkToFit="1"/>
    </xf>
    <xf numFmtId="0" fontId="4" fillId="0" borderId="3" xfId="0" applyFont="1" applyBorder="1" applyAlignment="1" applyProtection="1">
      <alignment horizontal="left" wrapText="1" shrinkToFit="1"/>
      <protection locked="0"/>
    </xf>
    <xf numFmtId="49" fontId="4" fillId="5" borderId="3" xfId="0" applyNumberFormat="1" applyFont="1" applyFill="1" applyBorder="1" applyAlignment="1">
      <alignment horizontal="left" wrapText="1" shrinkToFit="1"/>
    </xf>
    <xf numFmtId="0" fontId="4" fillId="5" borderId="3" xfId="0" applyFont="1" applyFill="1" applyBorder="1" applyAlignment="1">
      <alignment horizontal="left" wrapText="1" shrinkToFit="1"/>
    </xf>
    <xf numFmtId="0" fontId="4" fillId="6" borderId="3" xfId="0" applyFont="1" applyFill="1" applyBorder="1" applyAlignment="1">
      <alignment horizontal="left" wrapText="1" shrinkToFit="1"/>
    </xf>
    <xf numFmtId="49" fontId="4" fillId="7" borderId="3" xfId="0" applyNumberFormat="1" applyFont="1" applyFill="1" applyBorder="1" applyAlignment="1">
      <alignment horizontal="left" wrapText="1" shrinkToFit="1"/>
    </xf>
    <xf numFmtId="0" fontId="4" fillId="8" borderId="3" xfId="0" applyFont="1" applyFill="1" applyBorder="1" applyAlignment="1">
      <alignment horizontal="left" wrapText="1" shrinkToFit="1"/>
    </xf>
    <xf numFmtId="0" fontId="5" fillId="9" borderId="0" xfId="0" applyFont="1" applyFill="1" applyAlignment="1">
      <alignment horizontal="left" vertical="top" wrapText="1" shrinkToFit="1"/>
    </xf>
    <xf numFmtId="49" fontId="6" fillId="10" borderId="0" xfId="0" applyNumberFormat="1" applyFont="1" applyFill="1" applyAlignment="1">
      <alignment horizontal="left" wrapText="1" shrinkToFit="1"/>
    </xf>
    <xf numFmtId="0" fontId="7" fillId="3" borderId="4" xfId="0" applyFont="1" applyFill="1" applyBorder="1" applyAlignment="1">
      <alignment horizontal="left"/>
    </xf>
    <xf numFmtId="0" fontId="7" fillId="3" borderId="5" xfId="0" applyFont="1" applyFill="1" applyBorder="1" applyAlignment="1">
      <alignment horizontal="left"/>
    </xf>
    <xf numFmtId="164" fontId="4" fillId="0" borderId="0" xfId="0" applyNumberFormat="1" applyFont="1"/>
    <xf numFmtId="0" fontId="0" fillId="0" borderId="0" xfId="0" applyProtection="1">
      <protection locked="0"/>
    </xf>
    <xf numFmtId="0" fontId="0" fillId="0" borderId="0" xfId="0" applyAlignment="1" applyProtection="1">
      <alignment wrapText="1"/>
      <protection locked="0"/>
    </xf>
    <xf numFmtId="0" fontId="0" fillId="0" borderId="3" xfId="0" applyBorder="1" applyProtection="1">
      <protection locked="0"/>
    </xf>
    <xf numFmtId="0" fontId="0" fillId="0" borderId="4" xfId="0" applyBorder="1" applyProtection="1">
      <protection locked="0"/>
    </xf>
    <xf numFmtId="49" fontId="0" fillId="0" borderId="3" xfId="0" applyNumberFormat="1" applyBorder="1" applyProtection="1">
      <protection locked="0"/>
    </xf>
    <xf numFmtId="14" fontId="0" fillId="0" borderId="0" xfId="0" applyNumberFormat="1" applyProtection="1">
      <protection locked="0"/>
    </xf>
    <xf numFmtId="14" fontId="0" fillId="0" borderId="3" xfId="0" applyNumberFormat="1" applyBorder="1" applyProtection="1">
      <protection locked="0"/>
    </xf>
    <xf numFmtId="0" fontId="4" fillId="0" borderId="3" xfId="0" applyFont="1" applyBorder="1" applyProtection="1">
      <protection locked="0"/>
    </xf>
    <xf numFmtId="49" fontId="4" fillId="0" borderId="3" xfId="0" applyNumberFormat="1" applyFont="1" applyBorder="1" applyProtection="1">
      <protection locked="0"/>
    </xf>
    <xf numFmtId="0" fontId="4" fillId="0" borderId="4" xfId="0" applyFont="1" applyBorder="1" applyProtection="1">
      <protection locked="0"/>
    </xf>
    <xf numFmtId="0" fontId="4" fillId="0" borderId="5" xfId="0" applyFont="1" applyBorder="1" applyProtection="1">
      <protection locked="0"/>
    </xf>
    <xf numFmtId="165" fontId="0" fillId="0" borderId="0" xfId="0" applyNumberFormat="1" applyProtection="1">
      <protection locked="0"/>
    </xf>
    <xf numFmtId="0" fontId="8" fillId="3" borderId="6" xfId="0" applyFont="1" applyFill="1" applyBorder="1" applyAlignment="1">
      <alignment horizontal="left" vertical="top" wrapText="1" shrinkToFit="1"/>
    </xf>
    <xf numFmtId="0" fontId="8" fillId="3" borderId="7" xfId="0" applyFont="1" applyFill="1" applyBorder="1" applyAlignment="1">
      <alignment horizontal="left" vertical="top" wrapText="1" shrinkToFit="1"/>
    </xf>
    <xf numFmtId="0" fontId="8" fillId="3" borderId="8" xfId="0" applyFont="1" applyFill="1" applyBorder="1" applyAlignment="1">
      <alignment horizontal="center" vertical="top" wrapText="1" shrinkToFit="1"/>
    </xf>
    <xf numFmtId="0" fontId="1" fillId="0" borderId="0" xfId="0" applyFont="1" applyAlignment="1">
      <alignment horizontal="left" vertical="top" shrinkToFit="1"/>
    </xf>
    <xf numFmtId="49" fontId="1" fillId="0" borderId="0" xfId="0" applyNumberFormat="1" applyFont="1" applyAlignment="1">
      <alignment horizontal="left" vertical="top" shrinkToFit="1"/>
    </xf>
    <xf numFmtId="0" fontId="9" fillId="3" borderId="9" xfId="0" applyFont="1" applyFill="1" applyBorder="1" applyAlignment="1">
      <alignment horizontal="left" vertical="top" wrapText="1" shrinkToFit="1"/>
    </xf>
    <xf numFmtId="0" fontId="9" fillId="3" borderId="10" xfId="0" applyFont="1" applyFill="1" applyBorder="1" applyAlignment="1">
      <alignment horizontal="left" vertical="top" wrapText="1" shrinkToFit="1"/>
    </xf>
    <xf numFmtId="0" fontId="9" fillId="3" borderId="11" xfId="0" applyFont="1" applyFill="1" applyBorder="1" applyAlignment="1">
      <alignment horizontal="left" vertical="top" wrapText="1" shrinkToFit="1"/>
    </xf>
    <xf numFmtId="0" fontId="9" fillId="3" borderId="12" xfId="0" applyFont="1" applyFill="1" applyBorder="1" applyAlignment="1">
      <alignment horizontal="left" vertical="top" wrapText="1" shrinkToFit="1"/>
    </xf>
    <xf numFmtId="4" fontId="4" fillId="11" borderId="13" xfId="0" applyNumberFormat="1" applyFont="1" applyFill="1" applyBorder="1" applyAlignment="1" applyProtection="1">
      <alignment horizontal="right" wrapText="1" shrinkToFit="1"/>
      <protection locked="0"/>
    </xf>
    <xf numFmtId="0" fontId="9" fillId="3" borderId="14" xfId="0" applyFont="1" applyFill="1" applyBorder="1" applyAlignment="1">
      <alignment horizontal="left" vertical="top" wrapText="1" shrinkToFit="1"/>
    </xf>
    <xf numFmtId="0" fontId="9" fillId="3" borderId="15" xfId="0" applyFont="1" applyFill="1" applyBorder="1" applyAlignment="1">
      <alignment horizontal="left" vertical="top" wrapText="1" shrinkToFit="1"/>
    </xf>
    <xf numFmtId="0" fontId="9" fillId="3" borderId="16" xfId="0" applyFont="1" applyFill="1" applyBorder="1" applyAlignment="1">
      <alignment horizontal="left" vertical="top" wrapText="1" shrinkToFit="1"/>
    </xf>
    <xf numFmtId="0" fontId="9" fillId="3" borderId="17" xfId="0" applyFont="1" applyFill="1" applyBorder="1" applyAlignment="1">
      <alignment horizontal="left" vertical="top" wrapText="1" shrinkToFit="1"/>
    </xf>
    <xf numFmtId="4" fontId="4" fillId="11" borderId="18" xfId="0" applyNumberFormat="1" applyFont="1" applyFill="1" applyBorder="1" applyAlignment="1" applyProtection="1">
      <alignment horizontal="right" wrapText="1" shrinkToFit="1"/>
      <protection locked="0"/>
    </xf>
    <xf numFmtId="0" fontId="9" fillId="3" borderId="6" xfId="0" applyFont="1" applyFill="1" applyBorder="1" applyAlignment="1">
      <alignment horizontal="left" vertical="top" wrapText="1" shrinkToFit="1"/>
    </xf>
    <xf numFmtId="0" fontId="9" fillId="3" borderId="7" xfId="0" applyFont="1" applyFill="1" applyBorder="1" applyAlignment="1">
      <alignment horizontal="left" vertical="top" wrapText="1" shrinkToFit="1"/>
    </xf>
    <xf numFmtId="0" fontId="9" fillId="3" borderId="8" xfId="0" applyFont="1" applyFill="1" applyBorder="1" applyAlignment="1">
      <alignment horizontal="left" vertical="top" wrapText="1" shrinkToFit="1"/>
    </xf>
    <xf numFmtId="0" fontId="9" fillId="3" borderId="0" xfId="0" applyFont="1" applyFill="1" applyAlignment="1">
      <alignment horizontal="left" vertical="top" wrapText="1" shrinkToFit="1"/>
    </xf>
    <xf numFmtId="0" fontId="1" fillId="11" borderId="0" xfId="0" applyFont="1" applyFill="1" applyAlignment="1">
      <alignment shrinkToFit="1"/>
    </xf>
    <xf numFmtId="0" fontId="4" fillId="11" borderId="0" xfId="0" applyFont="1" applyFill="1"/>
    <xf numFmtId="0" fontId="1" fillId="11" borderId="2" xfId="0" applyFont="1" applyFill="1" applyBorder="1" applyAlignment="1">
      <alignment shrinkToFit="1"/>
    </xf>
    <xf numFmtId="0" fontId="1" fillId="11" borderId="19" xfId="0" applyFont="1" applyFill="1" applyBorder="1" applyAlignment="1">
      <alignment shrinkToFit="1"/>
    </xf>
    <xf numFmtId="0" fontId="8" fillId="3" borderId="4" xfId="0" applyFont="1" applyFill="1" applyBorder="1" applyAlignment="1">
      <alignment horizontal="left" vertical="center" wrapText="1" shrinkToFit="1"/>
    </xf>
    <xf numFmtId="0" fontId="8" fillId="3" borderId="20" xfId="0" applyFont="1" applyFill="1" applyBorder="1" applyAlignment="1">
      <alignment horizontal="left" vertical="center" wrapText="1" shrinkToFit="1"/>
    </xf>
    <xf numFmtId="0" fontId="8" fillId="3" borderId="20" xfId="0" applyFont="1" applyFill="1" applyBorder="1" applyAlignment="1">
      <alignment horizontal="right" vertical="top" wrapText="1" shrinkToFit="1"/>
    </xf>
    <xf numFmtId="0" fontId="8" fillId="3" borderId="5" xfId="0" applyFont="1" applyFill="1" applyBorder="1" applyAlignment="1">
      <alignment horizontal="right" vertical="top" wrapText="1" shrinkToFit="1"/>
    </xf>
    <xf numFmtId="0" fontId="8" fillId="3" borderId="3" xfId="0" applyFont="1" applyFill="1" applyBorder="1" applyAlignment="1">
      <alignment horizontal="center" vertical="center" wrapText="1" shrinkToFit="1"/>
    </xf>
    <xf numFmtId="0" fontId="8" fillId="3" borderId="3" xfId="0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 wrapText="1" shrinkToFit="1"/>
    </xf>
    <xf numFmtId="0" fontId="8" fillId="3" borderId="22" xfId="0" applyFont="1" applyFill="1" applyBorder="1" applyAlignment="1">
      <alignment horizontal="center" vertical="center" wrapText="1" shrinkToFit="1"/>
    </xf>
    <xf numFmtId="0" fontId="8" fillId="3" borderId="23" xfId="0" applyFont="1" applyFill="1" applyBorder="1" applyAlignment="1">
      <alignment horizontal="center" vertical="center" wrapText="1" shrinkToFit="1"/>
    </xf>
    <xf numFmtId="0" fontId="1" fillId="0" borderId="0" xfId="0" applyFont="1" applyAlignment="1">
      <alignment horizontal="right" shrinkToFit="1"/>
    </xf>
    <xf numFmtId="0" fontId="4" fillId="0" borderId="3" xfId="0" applyFont="1" applyBorder="1" applyAlignment="1">
      <alignment horizontal="left" vertical="top" wrapText="1" shrinkToFit="1"/>
    </xf>
    <xf numFmtId="49" fontId="4" fillId="0" borderId="3" xfId="0" applyNumberFormat="1" applyFont="1" applyBorder="1" applyAlignment="1" applyProtection="1">
      <alignment horizontal="left" vertical="top" wrapText="1" shrinkToFit="1"/>
      <protection locked="0"/>
    </xf>
    <xf numFmtId="0" fontId="4" fillId="0" borderId="3" xfId="0" applyFont="1" applyBorder="1" applyAlignment="1" applyProtection="1">
      <alignment horizontal="left" vertical="top" wrapText="1" shrinkToFit="1"/>
      <protection locked="0"/>
    </xf>
    <xf numFmtId="0" fontId="4" fillId="0" borderId="3" xfId="0" applyFont="1" applyBorder="1" applyAlignment="1">
      <alignment horizontal="left" wrapText="1" shrinkToFit="1"/>
    </xf>
    <xf numFmtId="49" fontId="4" fillId="0" borderId="3" xfId="0" applyNumberFormat="1" applyFont="1" applyBorder="1" applyAlignment="1">
      <alignment horizontal="left" wrapText="1" shrinkToFit="1"/>
    </xf>
    <xf numFmtId="49" fontId="4" fillId="0" borderId="3" xfId="0" applyNumberFormat="1" applyFont="1" applyBorder="1" applyAlignment="1" applyProtection="1">
      <alignment horizontal="left" wrapText="1" shrinkToFit="1"/>
      <protection locked="0"/>
    </xf>
    <xf numFmtId="4" fontId="4" fillId="0" borderId="3" xfId="0" applyNumberFormat="1" applyFont="1" applyBorder="1" applyAlignment="1" applyProtection="1">
      <alignment horizontal="right" wrapText="1" shrinkToFit="1"/>
      <protection locked="0"/>
    </xf>
    <xf numFmtId="4" fontId="4" fillId="0" borderId="3" xfId="0" applyNumberFormat="1" applyFont="1" applyBorder="1" applyAlignment="1">
      <alignment horizontal="right" wrapText="1" shrinkToFit="1"/>
    </xf>
    <xf numFmtId="166" fontId="4" fillId="0" borderId="3" xfId="0" applyNumberFormat="1" applyFont="1" applyBorder="1" applyAlignment="1">
      <alignment horizontal="right" wrapText="1" shrinkToFit="1"/>
    </xf>
    <xf numFmtId="0" fontId="4" fillId="0" borderId="0" xfId="0" applyFont="1"/>
    <xf numFmtId="0" fontId="8" fillId="3" borderId="4" xfId="0" applyFont="1" applyFill="1" applyBorder="1" applyAlignment="1">
      <alignment horizontal="left" vertical="top" wrapText="1" shrinkToFit="1"/>
    </xf>
    <xf numFmtId="0" fontId="8" fillId="3" borderId="20" xfId="0" applyFont="1" applyFill="1" applyBorder="1" applyAlignment="1">
      <alignment horizontal="left" vertical="top" wrapText="1" shrinkToFit="1"/>
    </xf>
    <xf numFmtId="4" fontId="4" fillId="3" borderId="3" xfId="0" applyNumberFormat="1" applyFont="1" applyFill="1" applyBorder="1" applyAlignment="1">
      <alignment horizontal="right" wrapText="1" shrinkToFit="1"/>
    </xf>
    <xf numFmtId="0" fontId="4" fillId="3" borderId="3" xfId="0" applyFont="1" applyFill="1" applyBorder="1" applyAlignment="1">
      <alignment wrapText="1" shrinkToFit="1"/>
    </xf>
    <xf numFmtId="4" fontId="4" fillId="5" borderId="3" xfId="0" applyNumberFormat="1" applyFont="1" applyFill="1" applyBorder="1" applyAlignment="1">
      <alignment horizontal="right" wrapText="1" shrinkToFit="1"/>
    </xf>
    <xf numFmtId="166" fontId="4" fillId="5" borderId="3" xfId="0" applyNumberFormat="1" applyFont="1" applyFill="1" applyBorder="1" applyAlignment="1">
      <alignment horizontal="right" wrapText="1" shrinkToFit="1"/>
    </xf>
    <xf numFmtId="49" fontId="4" fillId="3" borderId="3" xfId="0" applyNumberFormat="1" applyFont="1" applyFill="1" applyBorder="1" applyAlignment="1">
      <alignment horizontal="left" wrapText="1" shrinkToFit="1"/>
    </xf>
    <xf numFmtId="0" fontId="10" fillId="0" borderId="0" xfId="0" applyFont="1"/>
    <xf numFmtId="0" fontId="11" fillId="0" borderId="24" xfId="0" applyFont="1" applyBorder="1" applyAlignment="1">
      <alignment horizontal="left" vertical="center" wrapText="1" shrinkToFit="1"/>
    </xf>
    <xf numFmtId="0" fontId="0" fillId="0" borderId="25" xfId="0" applyBorder="1"/>
    <xf numFmtId="0" fontId="9" fillId="0" borderId="25" xfId="0" applyFont="1" applyBorder="1" applyAlignment="1">
      <alignment horizontal="left" vertical="center" wrapText="1" shrinkToFit="1"/>
    </xf>
    <xf numFmtId="0" fontId="9" fillId="0" borderId="25" xfId="0" applyFont="1" applyBorder="1" applyAlignment="1">
      <alignment horizontal="center" vertical="center" wrapText="1"/>
    </xf>
    <xf numFmtId="0" fontId="9" fillId="0" borderId="25" xfId="0" applyFont="1" applyBorder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9" fillId="0" borderId="2" xfId="0" applyFont="1" applyBorder="1" applyAlignment="1">
      <alignment horizontal="center" wrapText="1" shrinkToFit="1"/>
    </xf>
    <xf numFmtId="0" fontId="12" fillId="0" borderId="0" xfId="0" applyFont="1" applyAlignment="1">
      <alignment vertical="center"/>
    </xf>
    <xf numFmtId="0" fontId="9" fillId="0" borderId="0" xfId="0" applyFont="1" applyAlignment="1">
      <alignment horizontal="left" vertical="center" wrapText="1" shrinkToFit="1"/>
    </xf>
    <xf numFmtId="4" fontId="9" fillId="0" borderId="0" xfId="0" applyNumberFormat="1" applyFont="1" applyAlignment="1">
      <alignment horizontal="right" vertical="center" wrapText="1" shrinkToFit="1"/>
    </xf>
    <xf numFmtId="0" fontId="9" fillId="0" borderId="0" xfId="0" applyFont="1" applyAlignment="1">
      <alignment vertical="center" wrapText="1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left" vertical="center" shrinkToFit="1"/>
    </xf>
    <xf numFmtId="0" fontId="8" fillId="3" borderId="3" xfId="0" applyFont="1" applyFill="1" applyBorder="1" applyAlignment="1">
      <alignment horizontal="left" vertical="center" wrapText="1" shrinkToFit="1"/>
    </xf>
    <xf numFmtId="0" fontId="8" fillId="3" borderId="3" xfId="0" applyFont="1" applyFill="1" applyBorder="1" applyAlignment="1">
      <alignment vertical="center" wrapText="1" shrinkToFit="1"/>
    </xf>
    <xf numFmtId="0" fontId="8" fillId="3" borderId="3" xfId="0" applyFont="1" applyFill="1" applyBorder="1" applyAlignment="1">
      <alignment vertical="top" wrapText="1" shrinkToFit="1"/>
    </xf>
    <xf numFmtId="0" fontId="8" fillId="3" borderId="3" xfId="0" applyFont="1" applyFill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left" vertical="top" wrapText="1" shrinkToFit="1"/>
    </xf>
    <xf numFmtId="0" fontId="4" fillId="11" borderId="3" xfId="0" applyFont="1" applyFill="1" applyBorder="1"/>
    <xf numFmtId="0" fontId="1" fillId="11" borderId="3" xfId="0" applyFont="1" applyFill="1" applyBorder="1" applyAlignment="1">
      <alignment shrinkToFit="1"/>
    </xf>
    <xf numFmtId="0" fontId="0" fillId="0" borderId="3" xfId="0" applyBorder="1"/>
    <xf numFmtId="0" fontId="1" fillId="0" borderId="3" xfId="0" applyFont="1" applyBorder="1" applyAlignment="1">
      <alignment shrinkToFit="1"/>
    </xf>
    <xf numFmtId="0" fontId="4" fillId="0" borderId="3" xfId="0" applyFont="1" applyBorder="1"/>
    <xf numFmtId="0" fontId="8" fillId="3" borderId="3" xfId="0" applyFont="1" applyFill="1" applyBorder="1" applyAlignment="1">
      <alignment horizontal="left" vertical="top" wrapText="1" shrinkToFit="1"/>
    </xf>
    <xf numFmtId="0" fontId="1" fillId="0" borderId="27" xfId="0" applyFont="1" applyBorder="1" applyAlignment="1">
      <alignment shrinkToFit="1"/>
    </xf>
    <xf numFmtId="0" fontId="11" fillId="0" borderId="0" xfId="0" applyFont="1" applyAlignment="1">
      <alignment vertical="center" wrapText="1" shrinkToFit="1"/>
    </xf>
    <xf numFmtId="0" fontId="12" fillId="0" borderId="0" xfId="0" applyFont="1" applyAlignment="1">
      <alignment horizontal="center" vertical="top" wrapText="1" shrinkToFit="1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horizontal="center" vertical="top" wrapText="1"/>
    </xf>
    <xf numFmtId="0" fontId="11" fillId="3" borderId="3" xfId="0" applyFont="1" applyFill="1" applyBorder="1" applyAlignment="1">
      <alignment horizontal="left" vertical="top" wrapText="1" shrinkToFit="1"/>
    </xf>
    <xf numFmtId="0" fontId="11" fillId="3" borderId="3" xfId="0" applyFont="1" applyFill="1" applyBorder="1" applyAlignment="1">
      <alignment horizontal="right" vertical="top" wrapText="1" shrinkToFit="1"/>
    </xf>
    <xf numFmtId="0" fontId="11" fillId="3" borderId="3" xfId="0" applyFont="1" applyFill="1" applyBorder="1" applyAlignment="1">
      <alignment horizontal="center" vertical="center" wrapText="1" shrinkToFit="1"/>
    </xf>
    <xf numFmtId="0" fontId="4" fillId="0" borderId="3" xfId="0" applyFont="1" applyBorder="1" applyAlignment="1">
      <alignment horizontal="center" vertical="top" wrapText="1" shrinkToFit="1"/>
    </xf>
    <xf numFmtId="4" fontId="4" fillId="0" borderId="3" xfId="0" applyNumberFormat="1" applyFont="1" applyBorder="1" applyAlignment="1" applyProtection="1">
      <alignment horizontal="center" wrapText="1" shrinkToFit="1"/>
      <protection locked="0"/>
    </xf>
    <xf numFmtId="0" fontId="4" fillId="0" borderId="3" xfId="0" applyFont="1" applyBorder="1" applyAlignment="1">
      <alignment horizontal="center"/>
    </xf>
    <xf numFmtId="0" fontId="9" fillId="0" borderId="3" xfId="0" applyFont="1" applyBorder="1" applyAlignment="1">
      <alignment horizontal="right" vertical="top" wrapText="1" shrinkToFit="1"/>
    </xf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3" fillId="0" borderId="0" xfId="0" applyFont="1"/>
    <xf numFmtId="0" fontId="6" fillId="0" borderId="0" xfId="0" applyFont="1"/>
    <xf numFmtId="0" fontId="4" fillId="12" borderId="3" xfId="0" applyFont="1" applyFill="1" applyBorder="1" applyAlignment="1" applyProtection="1">
      <alignment horizontal="left" wrapText="1" shrinkToFit="1"/>
      <protection locked="0"/>
    </xf>
    <xf numFmtId="1" fontId="4" fillId="11" borderId="3" xfId="0" applyNumberFormat="1" applyFont="1" applyFill="1" applyBorder="1" applyAlignment="1" applyProtection="1">
      <alignment horizontal="right" wrapText="1" shrinkToFit="1"/>
      <protection locked="0"/>
    </xf>
    <xf numFmtId="0" fontId="3" fillId="3" borderId="23" xfId="0" applyFont="1" applyFill="1" applyBorder="1" applyAlignment="1">
      <alignment horizontal="left" vertical="top" wrapText="1" shrinkToFit="1"/>
    </xf>
    <xf numFmtId="49" fontId="4" fillId="12" borderId="3" xfId="0" applyNumberFormat="1" applyFont="1" applyFill="1" applyBorder="1" applyAlignment="1" applyProtection="1">
      <alignment horizontal="left" wrapText="1" shrinkToFi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6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60.xml"/><Relationship Id="rId8" Type="http://schemas.openxmlformats.org/officeDocument/2006/relationships/worksheet" Target="worksheets/sheet61.xml"/><Relationship Id="rId9" Type="http://schemas.openxmlformats.org/officeDocument/2006/relationships/worksheet" Target="worksheets/sheet62.xml"/><Relationship Id="rId10" Type="http://schemas.openxmlformats.org/officeDocument/2006/relationships/worksheet" Target="worksheets/sheet64.xml"/><Relationship Id="rId11" Type="http://schemas.openxmlformats.org/officeDocument/2006/relationships/worksheet" Target="worksheets/sheet3.xml"/><Relationship Id="rId12" Type="http://schemas.openxmlformats.org/officeDocument/2006/relationships/worksheet" Target="worksheets/sheet36.xml"/><Relationship Id="rId13" Type="http://schemas.openxmlformats.org/officeDocument/2006/relationships/worksheet" Target="worksheets/sheet37.xml"/><Relationship Id="rId14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://www.xe.com/euro.htm" TargetMode="External"/></Relationships>
</file>

<file path=xl/worksheets/_rels/sheet60.xml.rels><?xml version="1.0" encoding="UTF-8" standalone="yes"?>
<Relationships xmlns="http://schemas.openxmlformats.org/package/2006/relationships"><Relationship Id="rId1" Type="http://schemas.openxmlformats.org/officeDocument/2006/relationships/comments" Target="../comments60.xml"/><Relationship Id="rId2" Type="http://schemas.openxmlformats.org/officeDocument/2006/relationships/vmlDrawing" Target="../drawings/vmlDrawing60.vml"/></Relationships>
</file>

<file path=xl/worksheets/_rels/sheet61.xml.rels><?xml version="1.0" encoding="UTF-8" standalone="yes"?>
<Relationships xmlns="http://schemas.openxmlformats.org/package/2006/relationships"><Relationship Id="rId1" Type="http://schemas.openxmlformats.org/officeDocument/2006/relationships/comments" Target="../comments61.xml"/><Relationship Id="rId2" Type="http://schemas.openxmlformats.org/officeDocument/2006/relationships/vmlDrawing" Target="../drawings/vmlDrawing61.vml"/></Relationships>
</file>

<file path=xl/worksheets/_rels/sheet64.xml.rels><?xml version="1.0" encoding="UTF-8" standalone="yes"?>
<Relationships xmlns="http://schemas.openxmlformats.org/package/2006/relationships"><Relationship Id="rId1" Type="http://schemas.openxmlformats.org/officeDocument/2006/relationships/comments" Target="../comments64.xml"/><Relationship Id="rId2" Type="http://schemas.openxmlformats.org/officeDocument/2006/relationships/vmlDrawing" Target="../drawings/vmlDrawing6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"/>
  <sheetViews>
    <sheetView workbookViewId="0" zoomScale="100" zoomScaleNormal="100">
      <selection activeCell="A2" sqref="A2"/>
    </sheetView>
  </sheetViews>
  <sheetFormatPr defaultRowHeight="15" outlineLevelRow="0" outlineLevelCol="0" x14ac:dyDescent="0" defaultColWidth="9.28515625"/>
  <cols>
    <col min="1" max="1" width="199.28515625" style="20" customWidth="1"/>
    <col min="2" max="16384" width="9.28515625" style="20" customWidth="1"/>
  </cols>
  <sheetData>
    <row r="1" ht="225" customHeight="1" spans="1:26" x14ac:dyDescent="0.25">
      <c r="A1" s="21" t="s">
        <v>40</v>
      </c>
      <c r="Z1" s="20" t="s">
        <v>41</v>
      </c>
    </row>
    <row r="6" ht="90" customHeight="1" spans="1:1" x14ac:dyDescent="0.25">
      <c r="A6" s="21" t="s">
        <v>42</v>
      </c>
    </row>
    <row r="9" spans="1:1" x14ac:dyDescent="0.25">
      <c r="A9" s="21"/>
    </row>
    <row r="10" spans="1:1" x14ac:dyDescent="0.25">
      <c r="A10" s="21"/>
    </row>
  </sheetData>
  <sheetProtection selectLockedCells="1"/>
  <pageMargins left="0.7" right="0.7" top="0.75" bottom="0.75" header="0.3" footer="0.3"/>
  <pageSetup paperSize="9" orientation="portrait" horizontalDpi="1200" verticalDpi="12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2"/>
  <sheetViews>
    <sheetView workbookViewId="0" zoomScale="100" zoomScaleNormal="100">
      <selection activeCell="D34" sqref="D34"/>
    </sheetView>
  </sheetViews>
  <sheetFormatPr defaultRowHeight="15" outlineLevelRow="0" outlineLevelCol="0" x14ac:dyDescent="0" defaultColWidth="9.28515625"/>
  <cols>
    <col min="1" max="1" width="9.28515625" style="20" customWidth="1"/>
    <col min="2" max="2" width="25.7109375" style="20" customWidth="1"/>
    <col min="3" max="3" width="22.42578125" style="20" customWidth="1"/>
    <col min="4" max="4" width="17.28515625" style="20" customWidth="1"/>
    <col min="5" max="6" width="9.28515625" style="20" customWidth="1"/>
    <col min="7" max="7" width="20.7109375" style="20" customWidth="1"/>
    <col min="8" max="8" width="9.28515625" style="20" customWidth="1"/>
    <col min="9" max="9" width="9.7109375" style="20" customWidth="1"/>
    <col min="10" max="10" width="9.28515625" style="20" hidden="1" customWidth="1"/>
    <col min="11" max="11" width="53.28515625" style="20" hidden="1" customWidth="1"/>
    <col min="12" max="12" width="10.42578125" style="20" hidden="1" customWidth="1"/>
    <col min="13" max="13" width="11" style="20" hidden="1" customWidth="1"/>
    <col min="14" max="15" width="9.28515625" style="20" customWidth="1"/>
    <col min="16" max="16" width="24.5703125" style="20" customWidth="1"/>
    <col min="17" max="17" width="11" style="20" customWidth="1"/>
    <col min="18" max="16384" width="9.28515625" style="20" customWidth="1"/>
  </cols>
  <sheetData>
    <row r="1" spans="10:13" x14ac:dyDescent="0.25">
      <c r="J1" s="20" t="s">
        <v>43</v>
      </c>
      <c r="K1" s="20" t="s">
        <v>44</v>
      </c>
      <c r="L1" s="20" t="s">
        <v>45</v>
      </c>
      <c r="M1" s="20">
        <v>1</v>
      </c>
    </row>
    <row r="2" spans="10:13" x14ac:dyDescent="0.25">
      <c r="J2" s="20" t="s">
        <v>46</v>
      </c>
      <c r="K2" s="20" t="s">
        <v>47</v>
      </c>
      <c r="L2" s="20" t="s">
        <v>48</v>
      </c>
      <c r="M2" s="20">
        <v>1000</v>
      </c>
    </row>
    <row r="3" spans="10:13" x14ac:dyDescent="0.25">
      <c r="J3" s="20" t="s">
        <v>49</v>
      </c>
      <c r="K3" s="20" t="s">
        <v>50</v>
      </c>
      <c r="L3" s="20" t="s">
        <v>51</v>
      </c>
      <c r="M3" s="20">
        <v>100000</v>
      </c>
    </row>
    <row r="4" spans="10:13" x14ac:dyDescent="0.25">
      <c r="J4" s="20" t="s">
        <v>52</v>
      </c>
      <c r="K4" s="20" t="s">
        <v>53</v>
      </c>
      <c r="L4" s="20" t="s">
        <v>54</v>
      </c>
      <c r="M4" s="20">
        <v>1000000</v>
      </c>
    </row>
    <row r="5" spans="10:13" x14ac:dyDescent="0.25">
      <c r="J5" s="20" t="s">
        <v>55</v>
      </c>
      <c r="K5" s="20" t="s">
        <v>56</v>
      </c>
      <c r="L5" s="20" t="s">
        <v>57</v>
      </c>
      <c r="M5" s="20">
        <v>1000000000</v>
      </c>
    </row>
    <row r="6" spans="3:11" x14ac:dyDescent="0.25">
      <c r="C6" s="22" t="s">
        <v>58</v>
      </c>
      <c r="D6" s="22" t="s">
        <v>59</v>
      </c>
      <c r="J6" s="20" t="s">
        <v>60</v>
      </c>
      <c r="K6" s="20" t="s">
        <v>61</v>
      </c>
    </row>
    <row r="7" spans="3:11" x14ac:dyDescent="0.25">
      <c r="C7" s="22" t="s">
        <v>62</v>
      </c>
      <c r="D7" s="22" t="s">
        <v>51</v>
      </c>
      <c r="J7" s="20" t="s">
        <v>63</v>
      </c>
      <c r="K7" s="20" t="s">
        <v>64</v>
      </c>
    </row>
    <row r="8" spans="2:11" x14ac:dyDescent="0.25">
      <c r="B8" s="23" t="s">
        <v>65</v>
      </c>
      <c r="C8" s="22" t="s">
        <v>66</v>
      </c>
      <c r="D8" s="24">
        <f>G8</f>
        <v>0</v>
      </c>
      <c r="G8" s="24"/>
      <c r="I8" s="25"/>
      <c r="J8" s="20" t="s">
        <v>67</v>
      </c>
      <c r="K8" s="20" t="s">
        <v>68</v>
      </c>
    </row>
    <row r="9" spans="2:11" x14ac:dyDescent="0.25">
      <c r="B9" s="23"/>
      <c r="C9" s="22" t="s">
        <v>69</v>
      </c>
      <c r="D9" s="24">
        <f>G9</f>
        <v>0</v>
      </c>
      <c r="G9" s="24"/>
      <c r="I9" s="25"/>
      <c r="J9" s="20" t="s">
        <v>70</v>
      </c>
      <c r="K9" s="20" t="s">
        <v>71</v>
      </c>
    </row>
    <row r="10" spans="2:11" x14ac:dyDescent="0.25">
      <c r="B10" s="23" t="s">
        <v>72</v>
      </c>
      <c r="C10" s="22" t="s">
        <v>66</v>
      </c>
      <c r="D10" s="26">
        <v>43374</v>
      </c>
      <c r="G10" s="24"/>
      <c r="J10" s="20" t="s">
        <v>73</v>
      </c>
      <c r="K10" s="20" t="s">
        <v>74</v>
      </c>
    </row>
    <row r="11" spans="2:11" x14ac:dyDescent="0.25">
      <c r="B11" s="23"/>
      <c r="C11" s="22" t="s">
        <v>69</v>
      </c>
      <c r="D11" s="26">
        <v>43465</v>
      </c>
      <c r="G11" s="24"/>
      <c r="J11" s="20" t="s">
        <v>75</v>
      </c>
      <c r="K11" s="20" t="s">
        <v>76</v>
      </c>
    </row>
    <row r="12" spans="3:11" x14ac:dyDescent="0.25">
      <c r="C12" s="22" t="s">
        <v>77</v>
      </c>
      <c r="D12" s="24">
        <f>D16</f>
        <v>0</v>
      </c>
      <c r="G12" s="24"/>
      <c r="J12" s="20" t="s">
        <v>78</v>
      </c>
      <c r="K12" s="20" t="s">
        <v>79</v>
      </c>
    </row>
    <row r="13" spans="3:11" x14ac:dyDescent="0.25">
      <c r="C13" s="22" t="s">
        <v>80</v>
      </c>
      <c r="D13" s="22"/>
      <c r="G13" s="24"/>
      <c r="J13" s="20" t="s">
        <v>81</v>
      </c>
      <c r="K13" s="20" t="s">
        <v>82</v>
      </c>
    </row>
    <row r="14" spans="2:11" x14ac:dyDescent="0.25">
      <c r="B14" s="22" t="s">
        <v>83</v>
      </c>
      <c r="C14" s="22" t="s">
        <v>66</v>
      </c>
      <c r="D14" s="26">
        <f>StartUp!I8</f>
        <v>0</v>
      </c>
      <c r="J14" s="20" t="s">
        <v>84</v>
      </c>
      <c r="K14" s="20" t="s">
        <v>85</v>
      </c>
    </row>
    <row r="15" spans="2:11" x14ac:dyDescent="0.25">
      <c r="B15" s="22"/>
      <c r="C15" s="22" t="s">
        <v>69</v>
      </c>
      <c r="D15" s="26">
        <f>StartUp!I9</f>
        <v>0</v>
      </c>
      <c r="J15" s="20" t="s">
        <v>86</v>
      </c>
      <c r="K15" s="20" t="s">
        <v>87</v>
      </c>
    </row>
    <row r="16" spans="2:11" x14ac:dyDescent="0.25">
      <c r="B16" s="27" t="s">
        <v>88</v>
      </c>
      <c r="C16" s="27"/>
      <c r="D16" s="28"/>
      <c r="G16" s="25"/>
      <c r="J16" s="20" t="s">
        <v>89</v>
      </c>
      <c r="K16" s="20" t="s">
        <v>90</v>
      </c>
    </row>
    <row r="17" spans="2:11" x14ac:dyDescent="0.25">
      <c r="B17" s="27" t="s">
        <v>91</v>
      </c>
      <c r="C17" s="27"/>
      <c r="D17" s="27"/>
      <c r="J17" s="20" t="s">
        <v>92</v>
      </c>
      <c r="K17" s="20" t="s">
        <v>93</v>
      </c>
    </row>
    <row r="18" spans="2:11" x14ac:dyDescent="0.25">
      <c r="B18" s="27" t="s">
        <v>25</v>
      </c>
      <c r="C18" s="27"/>
      <c r="D18" s="27"/>
      <c r="J18" s="20" t="s">
        <v>94</v>
      </c>
      <c r="K18" s="20" t="s">
        <v>95</v>
      </c>
    </row>
    <row r="19" spans="2:11" x14ac:dyDescent="0.25">
      <c r="B19" s="27" t="s">
        <v>96</v>
      </c>
      <c r="C19" s="27"/>
      <c r="D19" s="27">
        <v>0</v>
      </c>
      <c r="J19" s="20" t="s">
        <v>97</v>
      </c>
      <c r="K19" s="20" t="s">
        <v>98</v>
      </c>
    </row>
    <row r="20" spans="2:11" x14ac:dyDescent="0.25">
      <c r="B20" s="27" t="s">
        <v>99</v>
      </c>
      <c r="C20" s="27"/>
      <c r="D20" s="27">
        <v>2010</v>
      </c>
      <c r="J20" s="20" t="s">
        <v>100</v>
      </c>
      <c r="K20" s="20" t="s">
        <v>101</v>
      </c>
    </row>
    <row r="21" spans="2:11" x14ac:dyDescent="0.25">
      <c r="B21" s="29" t="s">
        <v>102</v>
      </c>
      <c r="C21" s="27"/>
      <c r="D21" s="30">
        <v>0</v>
      </c>
      <c r="J21" s="20" t="s">
        <v>103</v>
      </c>
      <c r="K21" s="20" t="s">
        <v>104</v>
      </c>
    </row>
    <row r="22" spans="4:11" x14ac:dyDescent="0.25">
      <c r="D22" s="20" t="s">
        <v>23</v>
      </c>
      <c r="J22" s="20" t="s">
        <v>105</v>
      </c>
      <c r="K22" s="20" t="s">
        <v>106</v>
      </c>
    </row>
    <row r="23" spans="2:11" x14ac:dyDescent="0.25">
      <c r="B23" s="22" t="s">
        <v>107</v>
      </c>
      <c r="C23" s="22"/>
      <c r="D23" s="22">
        <v>2</v>
      </c>
      <c r="G23" s="24" t="s">
        <v>108</v>
      </c>
      <c r="J23" s="20" t="s">
        <v>109</v>
      </c>
      <c r="K23" s="20" t="s">
        <v>110</v>
      </c>
    </row>
    <row r="24" spans="10:11" x14ac:dyDescent="0.25">
      <c r="J24" s="20" t="s">
        <v>111</v>
      </c>
      <c r="K24" s="20" t="s">
        <v>112</v>
      </c>
    </row>
    <row r="25" spans="4:11" x14ac:dyDescent="0.25">
      <c r="D25" s="31">
        <v>43889</v>
      </c>
      <c r="J25" s="20" t="s">
        <v>113</v>
      </c>
      <c r="K25" s="20" t="s">
        <v>114</v>
      </c>
    </row>
    <row r="26" spans="4:11" x14ac:dyDescent="0.25">
      <c r="D26" s="31"/>
      <c r="J26" s="20" t="s">
        <v>115</v>
      </c>
      <c r="K26" s="20" t="s">
        <v>116</v>
      </c>
    </row>
    <row r="27" spans="2:11" x14ac:dyDescent="0.25">
      <c r="B27" s="20" t="s">
        <v>117</v>
      </c>
      <c r="C27" s="20" t="s">
        <v>9</v>
      </c>
      <c r="J27" s="20" t="s">
        <v>118</v>
      </c>
      <c r="K27" s="20" t="s">
        <v>119</v>
      </c>
    </row>
    <row r="28" spans="2:11" x14ac:dyDescent="0.25">
      <c r="B28" s="20" t="s">
        <v>11</v>
      </c>
      <c r="C28" s="20" t="s">
        <v>12</v>
      </c>
      <c r="J28" s="20" t="s">
        <v>120</v>
      </c>
      <c r="K28" s="20" t="s">
        <v>121</v>
      </c>
    </row>
    <row r="29" spans="2:11" x14ac:dyDescent="0.25">
      <c r="B29" s="20" t="s">
        <v>29</v>
      </c>
      <c r="C29" s="20" t="s">
        <v>30</v>
      </c>
      <c r="D29" s="20" t="s">
        <v>122</v>
      </c>
      <c r="J29" s="20" t="s">
        <v>123</v>
      </c>
      <c r="K29" s="20" t="s">
        <v>124</v>
      </c>
    </row>
    <row r="30" spans="10:11" x14ac:dyDescent="0.25">
      <c r="J30" s="20" t="s">
        <v>125</v>
      </c>
      <c r="K30" s="20" t="s">
        <v>126</v>
      </c>
    </row>
    <row r="31" spans="10:11" x14ac:dyDescent="0.25">
      <c r="J31" s="20" t="s">
        <v>127</v>
      </c>
      <c r="K31" s="20" t="s">
        <v>128</v>
      </c>
    </row>
    <row r="32" spans="10:11" x14ac:dyDescent="0.25">
      <c r="J32" s="20" t="s">
        <v>129</v>
      </c>
      <c r="K32" s="20" t="s">
        <v>130</v>
      </c>
    </row>
    <row r="33" spans="10:11" x14ac:dyDescent="0.25">
      <c r="J33" s="20" t="s">
        <v>131</v>
      </c>
      <c r="K33" s="20" t="s">
        <v>132</v>
      </c>
    </row>
    <row r="34" spans="10:11" x14ac:dyDescent="0.25">
      <c r="J34" s="20" t="s">
        <v>133</v>
      </c>
      <c r="K34" s="20" t="s">
        <v>134</v>
      </c>
    </row>
    <row r="35" spans="10:11" x14ac:dyDescent="0.25">
      <c r="J35" s="20" t="s">
        <v>135</v>
      </c>
      <c r="K35" s="20" t="s">
        <v>136</v>
      </c>
    </row>
    <row r="36" spans="10:11" x14ac:dyDescent="0.25">
      <c r="J36" s="20" t="s">
        <v>137</v>
      </c>
      <c r="K36" s="20" t="s">
        <v>138</v>
      </c>
    </row>
    <row r="37" spans="10:11" x14ac:dyDescent="0.25">
      <c r="J37" s="20" t="s">
        <v>139</v>
      </c>
      <c r="K37" s="20" t="s">
        <v>140</v>
      </c>
    </row>
    <row r="38" spans="10:11" x14ac:dyDescent="0.25">
      <c r="J38" s="20" t="s">
        <v>141</v>
      </c>
      <c r="K38" s="20" t="s">
        <v>142</v>
      </c>
    </row>
    <row r="39" spans="10:11" x14ac:dyDescent="0.25">
      <c r="J39" s="20" t="s">
        <v>143</v>
      </c>
      <c r="K39" s="20" t="s">
        <v>144</v>
      </c>
    </row>
    <row r="40" spans="2:3" x14ac:dyDescent="0.25">
      <c r="B40" s="20" t="s">
        <v>145</v>
      </c>
      <c r="C40" s="20">
        <f>StartUp!D17</f>
        <v>0</v>
      </c>
    </row>
    <row r="41" spans="2:11" x14ac:dyDescent="0.25">
      <c r="B41" s="20" t="s">
        <v>146</v>
      </c>
      <c r="C41" s="20" t="e">
        <f>#REF!</f>
        <v>#REF!</v>
      </c>
      <c r="J41" s="20" t="s">
        <v>147</v>
      </c>
      <c r="K41" s="20" t="s">
        <v>148</v>
      </c>
    </row>
    <row r="42" spans="1:11" x14ac:dyDescent="0.25">
      <c r="A42" s="20" t="s">
        <v>149</v>
      </c>
      <c r="B42" s="20" t="s">
        <v>150</v>
      </c>
      <c r="C42" s="20" t="e">
        <f>#REF!</f>
        <v>#REF!</v>
      </c>
      <c r="J42" s="20" t="s">
        <v>151</v>
      </c>
      <c r="K42" s="20" t="s">
        <v>152</v>
      </c>
    </row>
    <row r="43" spans="10:11" x14ac:dyDescent="0.25">
      <c r="J43" s="20" t="s">
        <v>153</v>
      </c>
      <c r="K43" s="20" t="s">
        <v>154</v>
      </c>
    </row>
    <row r="44" spans="10:11" x14ac:dyDescent="0.25">
      <c r="J44" s="20" t="s">
        <v>155</v>
      </c>
      <c r="K44" s="20" t="s">
        <v>156</v>
      </c>
    </row>
    <row r="45" spans="10:11" x14ac:dyDescent="0.25">
      <c r="J45" s="20" t="s">
        <v>157</v>
      </c>
      <c r="K45" s="20" t="s">
        <v>158</v>
      </c>
    </row>
    <row r="46" spans="10:11" x14ac:dyDescent="0.25">
      <c r="J46" s="20" t="s">
        <v>159</v>
      </c>
      <c r="K46" s="20" t="s">
        <v>160</v>
      </c>
    </row>
    <row r="47" spans="10:11" x14ac:dyDescent="0.25">
      <c r="J47" s="20" t="s">
        <v>161</v>
      </c>
      <c r="K47" s="20" t="s">
        <v>162</v>
      </c>
    </row>
    <row r="48" spans="10:11" x14ac:dyDescent="0.25">
      <c r="J48" s="20" t="s">
        <v>163</v>
      </c>
      <c r="K48" s="20" t="s">
        <v>164</v>
      </c>
    </row>
    <row r="49" spans="10:11" x14ac:dyDescent="0.25">
      <c r="J49" s="20" t="s">
        <v>165</v>
      </c>
      <c r="K49" s="20" t="s">
        <v>166</v>
      </c>
    </row>
    <row r="50" spans="10:11" x14ac:dyDescent="0.25">
      <c r="J50" s="20" t="s">
        <v>167</v>
      </c>
      <c r="K50" s="20" t="s">
        <v>168</v>
      </c>
    </row>
    <row r="51" spans="10:11" x14ac:dyDescent="0.25">
      <c r="J51" s="20" t="s">
        <v>169</v>
      </c>
      <c r="K51" s="20" t="s">
        <v>170</v>
      </c>
    </row>
    <row r="52" spans="10:11" x14ac:dyDescent="0.25">
      <c r="J52" s="20" t="s">
        <v>171</v>
      </c>
      <c r="K52" s="20" t="s">
        <v>172</v>
      </c>
    </row>
    <row r="53" spans="10:11" x14ac:dyDescent="0.25">
      <c r="J53" s="20" t="s">
        <v>173</v>
      </c>
      <c r="K53" s="20" t="s">
        <v>174</v>
      </c>
    </row>
    <row r="54" spans="10:11" x14ac:dyDescent="0.25">
      <c r="J54" s="20" t="s">
        <v>175</v>
      </c>
      <c r="K54" s="20" t="s">
        <v>176</v>
      </c>
    </row>
    <row r="55" spans="10:11" x14ac:dyDescent="0.25">
      <c r="J55" s="20" t="s">
        <v>177</v>
      </c>
      <c r="K55" s="20" t="s">
        <v>178</v>
      </c>
    </row>
    <row r="56" spans="10:11" x14ac:dyDescent="0.25">
      <c r="J56" s="20" t="s">
        <v>179</v>
      </c>
      <c r="K56" s="20" t="s">
        <v>180</v>
      </c>
    </row>
    <row r="57" spans="10:11" x14ac:dyDescent="0.25">
      <c r="J57" s="20" t="s">
        <v>181</v>
      </c>
      <c r="K57" s="20" t="s">
        <v>182</v>
      </c>
    </row>
    <row r="58" spans="10:11" x14ac:dyDescent="0.25">
      <c r="J58" s="20" t="s">
        <v>183</v>
      </c>
      <c r="K58" s="20" t="s">
        <v>184</v>
      </c>
    </row>
    <row r="59" spans="10:11" x14ac:dyDescent="0.25">
      <c r="J59" s="20" t="s">
        <v>185</v>
      </c>
      <c r="K59" s="20" t="s">
        <v>186</v>
      </c>
    </row>
    <row r="60" spans="10:11" x14ac:dyDescent="0.25">
      <c r="J60" s="20" t="s">
        <v>187</v>
      </c>
      <c r="K60" s="20" t="s">
        <v>188</v>
      </c>
    </row>
    <row r="61" spans="10:11" x14ac:dyDescent="0.25">
      <c r="J61" s="20" t="s">
        <v>189</v>
      </c>
      <c r="K61" s="20" t="s">
        <v>190</v>
      </c>
    </row>
    <row r="62" spans="10:11" x14ac:dyDescent="0.25">
      <c r="J62" s="20" t="s">
        <v>191</v>
      </c>
      <c r="K62" s="20" t="s">
        <v>192</v>
      </c>
    </row>
    <row r="63" spans="10:11" x14ac:dyDescent="0.25">
      <c r="J63" s="20" t="s">
        <v>193</v>
      </c>
      <c r="K63" s="20" t="s">
        <v>194</v>
      </c>
    </row>
    <row r="64" spans="10:11" x14ac:dyDescent="0.25">
      <c r="J64" s="20" t="s">
        <v>195</v>
      </c>
      <c r="K64" s="20" t="s">
        <v>196</v>
      </c>
    </row>
    <row r="65" spans="10:11" x14ac:dyDescent="0.25">
      <c r="J65" s="20" t="s">
        <v>197</v>
      </c>
      <c r="K65" s="20" t="s">
        <v>198</v>
      </c>
    </row>
    <row r="66" spans="10:11" x14ac:dyDescent="0.25">
      <c r="J66" s="20" t="s">
        <v>199</v>
      </c>
      <c r="K66" s="20" t="s">
        <v>200</v>
      </c>
    </row>
    <row r="67" spans="10:11" x14ac:dyDescent="0.25">
      <c r="J67" s="20" t="s">
        <v>201</v>
      </c>
      <c r="K67" s="20" t="s">
        <v>202</v>
      </c>
    </row>
    <row r="68" spans="10:11" x14ac:dyDescent="0.25">
      <c r="J68" s="20" t="s">
        <v>203</v>
      </c>
      <c r="K68" s="20" t="s">
        <v>204</v>
      </c>
    </row>
    <row r="69" spans="10:11" x14ac:dyDescent="0.25">
      <c r="J69" s="20" t="s">
        <v>205</v>
      </c>
      <c r="K69" s="20" t="s">
        <v>59</v>
      </c>
    </row>
    <row r="70" spans="10:11" x14ac:dyDescent="0.25">
      <c r="J70" s="20" t="s">
        <v>206</v>
      </c>
      <c r="K70" s="20" t="s">
        <v>207</v>
      </c>
    </row>
    <row r="71" spans="10:11" x14ac:dyDescent="0.25">
      <c r="J71" s="20" t="s">
        <v>208</v>
      </c>
      <c r="K71" s="20" t="s">
        <v>209</v>
      </c>
    </row>
    <row r="72" spans="10:11" x14ac:dyDescent="0.25">
      <c r="J72" s="20" t="s">
        <v>210</v>
      </c>
      <c r="K72" s="20" t="s">
        <v>211</v>
      </c>
    </row>
    <row r="73" spans="10:11" x14ac:dyDescent="0.25">
      <c r="J73" s="20" t="s">
        <v>212</v>
      </c>
      <c r="K73" s="20" t="s">
        <v>213</v>
      </c>
    </row>
    <row r="74" spans="10:11" x14ac:dyDescent="0.25">
      <c r="J74" s="20" t="s">
        <v>214</v>
      </c>
      <c r="K74" s="20" t="s">
        <v>215</v>
      </c>
    </row>
    <row r="75" spans="10:11" x14ac:dyDescent="0.25">
      <c r="J75" s="20" t="s">
        <v>216</v>
      </c>
      <c r="K75" s="20" t="s">
        <v>217</v>
      </c>
    </row>
    <row r="76" spans="10:11" x14ac:dyDescent="0.25">
      <c r="J76" s="20" t="s">
        <v>218</v>
      </c>
      <c r="K76" s="20" t="s">
        <v>219</v>
      </c>
    </row>
    <row r="77" spans="10:11" x14ac:dyDescent="0.25">
      <c r="J77" s="20" t="s">
        <v>220</v>
      </c>
      <c r="K77" s="20" t="s">
        <v>221</v>
      </c>
    </row>
    <row r="78" spans="10:11" x14ac:dyDescent="0.25">
      <c r="J78" s="20" t="s">
        <v>222</v>
      </c>
      <c r="K78" s="20" t="s">
        <v>223</v>
      </c>
    </row>
    <row r="79" spans="10:11" x14ac:dyDescent="0.25">
      <c r="J79" s="20" t="s">
        <v>224</v>
      </c>
      <c r="K79" s="20" t="s">
        <v>225</v>
      </c>
    </row>
    <row r="80" spans="10:11" x14ac:dyDescent="0.25">
      <c r="J80" s="20" t="s">
        <v>226</v>
      </c>
      <c r="K80" s="20" t="s">
        <v>227</v>
      </c>
    </row>
    <row r="81" spans="10:11" x14ac:dyDescent="0.25">
      <c r="J81" s="20" t="s">
        <v>228</v>
      </c>
      <c r="K81" s="20" t="s">
        <v>229</v>
      </c>
    </row>
    <row r="82" spans="10:11" x14ac:dyDescent="0.25">
      <c r="J82" s="20" t="s">
        <v>230</v>
      </c>
      <c r="K82" s="20" t="s">
        <v>231</v>
      </c>
    </row>
    <row r="83" spans="10:11" x14ac:dyDescent="0.25">
      <c r="J83" s="20" t="s">
        <v>232</v>
      </c>
      <c r="K83" s="20" t="s">
        <v>233</v>
      </c>
    </row>
    <row r="84" spans="10:11" x14ac:dyDescent="0.25">
      <c r="J84" s="20" t="s">
        <v>234</v>
      </c>
      <c r="K84" s="20" t="s">
        <v>235</v>
      </c>
    </row>
    <row r="85" spans="10:11" x14ac:dyDescent="0.25">
      <c r="J85" s="20" t="s">
        <v>236</v>
      </c>
      <c r="K85" s="20" t="s">
        <v>237</v>
      </c>
    </row>
    <row r="86" spans="10:11" x14ac:dyDescent="0.25">
      <c r="J86" s="20" t="s">
        <v>238</v>
      </c>
      <c r="K86" s="20" t="s">
        <v>239</v>
      </c>
    </row>
    <row r="87" spans="10:11" x14ac:dyDescent="0.25">
      <c r="J87" s="20" t="s">
        <v>240</v>
      </c>
      <c r="K87" s="20" t="s">
        <v>241</v>
      </c>
    </row>
    <row r="88" spans="10:11" x14ac:dyDescent="0.25">
      <c r="J88" s="20" t="s">
        <v>242</v>
      </c>
      <c r="K88" s="20" t="s">
        <v>243</v>
      </c>
    </row>
    <row r="89" spans="10:11" x14ac:dyDescent="0.25">
      <c r="J89" s="20" t="s">
        <v>244</v>
      </c>
      <c r="K89" s="20" t="s">
        <v>245</v>
      </c>
    </row>
    <row r="90" spans="10:11" x14ac:dyDescent="0.25">
      <c r="J90" s="20" t="s">
        <v>246</v>
      </c>
      <c r="K90" s="20" t="s">
        <v>247</v>
      </c>
    </row>
    <row r="91" spans="10:11" x14ac:dyDescent="0.25">
      <c r="J91" s="20" t="s">
        <v>248</v>
      </c>
      <c r="K91" s="20" t="s">
        <v>249</v>
      </c>
    </row>
    <row r="92" spans="10:11" x14ac:dyDescent="0.25">
      <c r="J92" s="20" t="s">
        <v>250</v>
      </c>
      <c r="K92" s="20" t="s">
        <v>251</v>
      </c>
    </row>
    <row r="93" spans="10:11" x14ac:dyDescent="0.25">
      <c r="J93" s="20" t="s">
        <v>252</v>
      </c>
      <c r="K93" s="20" t="s">
        <v>253</v>
      </c>
    </row>
    <row r="94" spans="10:11" x14ac:dyDescent="0.25">
      <c r="J94" s="20" t="s">
        <v>254</v>
      </c>
      <c r="K94" s="20" t="s">
        <v>255</v>
      </c>
    </row>
    <row r="95" spans="10:11" x14ac:dyDescent="0.25">
      <c r="J95" s="20" t="s">
        <v>256</v>
      </c>
      <c r="K95" s="20" t="s">
        <v>257</v>
      </c>
    </row>
    <row r="96" spans="10:11" x14ac:dyDescent="0.25">
      <c r="J96" s="20" t="s">
        <v>258</v>
      </c>
      <c r="K96" s="20" t="s">
        <v>259</v>
      </c>
    </row>
    <row r="97" spans="10:11" x14ac:dyDescent="0.25">
      <c r="J97" s="20" t="s">
        <v>260</v>
      </c>
      <c r="K97" s="20" t="s">
        <v>261</v>
      </c>
    </row>
    <row r="98" spans="10:11" x14ac:dyDescent="0.25">
      <c r="J98" s="20" t="s">
        <v>262</v>
      </c>
      <c r="K98" s="20" t="s">
        <v>263</v>
      </c>
    </row>
    <row r="99" spans="10:11" x14ac:dyDescent="0.25">
      <c r="J99" s="20" t="s">
        <v>264</v>
      </c>
      <c r="K99" s="20" t="s">
        <v>265</v>
      </c>
    </row>
    <row r="100" spans="10:11" x14ac:dyDescent="0.25">
      <c r="J100" s="20" t="s">
        <v>266</v>
      </c>
      <c r="K100" s="20" t="s">
        <v>267</v>
      </c>
    </row>
    <row r="101" spans="10:11" x14ac:dyDescent="0.25">
      <c r="J101" s="20" t="s">
        <v>268</v>
      </c>
      <c r="K101" s="20" t="s">
        <v>269</v>
      </c>
    </row>
    <row r="102" spans="10:11" x14ac:dyDescent="0.25">
      <c r="J102" s="20" t="s">
        <v>270</v>
      </c>
      <c r="K102" s="20" t="s">
        <v>271</v>
      </c>
    </row>
    <row r="103" spans="10:11" x14ac:dyDescent="0.25">
      <c r="J103" s="20" t="s">
        <v>272</v>
      </c>
      <c r="K103" s="20" t="s">
        <v>273</v>
      </c>
    </row>
    <row r="104" spans="10:11" x14ac:dyDescent="0.25">
      <c r="J104" s="20" t="s">
        <v>274</v>
      </c>
      <c r="K104" s="20" t="s">
        <v>275</v>
      </c>
    </row>
    <row r="105" spans="10:11" x14ac:dyDescent="0.25">
      <c r="J105" s="20" t="s">
        <v>276</v>
      </c>
      <c r="K105" s="20" t="s">
        <v>277</v>
      </c>
    </row>
    <row r="106" spans="10:11" x14ac:dyDescent="0.25">
      <c r="J106" s="20" t="s">
        <v>278</v>
      </c>
      <c r="K106" s="20" t="s">
        <v>279</v>
      </c>
    </row>
    <row r="107" spans="10:11" x14ac:dyDescent="0.25">
      <c r="J107" s="20" t="s">
        <v>280</v>
      </c>
      <c r="K107" s="20" t="s">
        <v>281</v>
      </c>
    </row>
    <row r="108" spans="10:11" x14ac:dyDescent="0.25">
      <c r="J108" s="20" t="s">
        <v>282</v>
      </c>
      <c r="K108" s="20" t="s">
        <v>283</v>
      </c>
    </row>
    <row r="109" spans="10:11" x14ac:dyDescent="0.25">
      <c r="J109" s="20" t="s">
        <v>284</v>
      </c>
      <c r="K109" s="20" t="s">
        <v>285</v>
      </c>
    </row>
    <row r="110" spans="10:11" x14ac:dyDescent="0.25">
      <c r="J110" s="20" t="s">
        <v>286</v>
      </c>
      <c r="K110" s="20" t="s">
        <v>287</v>
      </c>
    </row>
    <row r="111" spans="10:11" x14ac:dyDescent="0.25">
      <c r="J111" s="20" t="s">
        <v>288</v>
      </c>
      <c r="K111" s="20" t="s">
        <v>289</v>
      </c>
    </row>
    <row r="112" spans="10:11" x14ac:dyDescent="0.25">
      <c r="J112" s="20" t="s">
        <v>290</v>
      </c>
      <c r="K112" s="20" t="s">
        <v>291</v>
      </c>
    </row>
    <row r="113" spans="10:11" x14ac:dyDescent="0.25">
      <c r="J113" s="20" t="s">
        <v>292</v>
      </c>
      <c r="K113" s="20" t="s">
        <v>293</v>
      </c>
    </row>
    <row r="114" spans="10:11" x14ac:dyDescent="0.25">
      <c r="J114" s="20" t="s">
        <v>294</v>
      </c>
      <c r="K114" s="20" t="s">
        <v>295</v>
      </c>
    </row>
    <row r="115" spans="10:11" x14ac:dyDescent="0.25">
      <c r="J115" s="20" t="s">
        <v>296</v>
      </c>
      <c r="K115" s="20" t="s">
        <v>297</v>
      </c>
    </row>
    <row r="116" spans="10:11" x14ac:dyDescent="0.25">
      <c r="J116" s="20" t="s">
        <v>298</v>
      </c>
      <c r="K116" s="20" t="s">
        <v>299</v>
      </c>
    </row>
    <row r="117" spans="10:11" x14ac:dyDescent="0.25">
      <c r="J117" s="20" t="s">
        <v>300</v>
      </c>
      <c r="K117" s="20" t="s">
        <v>301</v>
      </c>
    </row>
    <row r="118" spans="10:11" x14ac:dyDescent="0.25">
      <c r="J118" s="20" t="s">
        <v>302</v>
      </c>
      <c r="K118" s="20" t="s">
        <v>303</v>
      </c>
    </row>
    <row r="119" spans="10:11" x14ac:dyDescent="0.25">
      <c r="J119" s="20" t="s">
        <v>304</v>
      </c>
      <c r="K119" s="20" t="s">
        <v>305</v>
      </c>
    </row>
    <row r="120" spans="10:11" x14ac:dyDescent="0.25">
      <c r="J120" s="20" t="s">
        <v>306</v>
      </c>
      <c r="K120" s="20" t="s">
        <v>307</v>
      </c>
    </row>
    <row r="121" spans="10:11" x14ac:dyDescent="0.25">
      <c r="J121" s="20" t="s">
        <v>308</v>
      </c>
      <c r="K121" s="20" t="s">
        <v>309</v>
      </c>
    </row>
    <row r="122" spans="10:11" x14ac:dyDescent="0.25">
      <c r="J122" s="20" t="s">
        <v>310</v>
      </c>
      <c r="K122" s="20" t="s">
        <v>311</v>
      </c>
    </row>
    <row r="123" spans="10:11" x14ac:dyDescent="0.25">
      <c r="J123" s="20" t="s">
        <v>312</v>
      </c>
      <c r="K123" s="20" t="s">
        <v>313</v>
      </c>
    </row>
    <row r="124" spans="10:11" x14ac:dyDescent="0.25">
      <c r="J124" s="20" t="s">
        <v>314</v>
      </c>
      <c r="K124" s="20" t="s">
        <v>315</v>
      </c>
    </row>
    <row r="125" spans="10:11" x14ac:dyDescent="0.25">
      <c r="J125" s="20" t="s">
        <v>316</v>
      </c>
      <c r="K125" s="20" t="s">
        <v>317</v>
      </c>
    </row>
    <row r="126" spans="10:11" x14ac:dyDescent="0.25">
      <c r="J126" s="20" t="s">
        <v>318</v>
      </c>
      <c r="K126" s="20" t="s">
        <v>319</v>
      </c>
    </row>
    <row r="127" spans="10:11" x14ac:dyDescent="0.25">
      <c r="J127" s="20" t="s">
        <v>320</v>
      </c>
      <c r="K127" s="20" t="s">
        <v>321</v>
      </c>
    </row>
    <row r="128" spans="10:11" x14ac:dyDescent="0.25">
      <c r="J128" s="20" t="s">
        <v>322</v>
      </c>
      <c r="K128" s="20" t="s">
        <v>323</v>
      </c>
    </row>
    <row r="129" spans="10:11" x14ac:dyDescent="0.25">
      <c r="J129" s="20" t="s">
        <v>324</v>
      </c>
      <c r="K129" s="20" t="s">
        <v>325</v>
      </c>
    </row>
    <row r="130" spans="10:11" x14ac:dyDescent="0.25">
      <c r="J130" s="20" t="s">
        <v>326</v>
      </c>
      <c r="K130" s="20" t="s">
        <v>327</v>
      </c>
    </row>
    <row r="131" spans="10:11" x14ac:dyDescent="0.25">
      <c r="J131" s="20" t="s">
        <v>328</v>
      </c>
      <c r="K131" s="20" t="s">
        <v>329</v>
      </c>
    </row>
    <row r="132" spans="10:11" x14ac:dyDescent="0.25">
      <c r="J132" s="20" t="s">
        <v>330</v>
      </c>
      <c r="K132" s="20" t="s">
        <v>331</v>
      </c>
    </row>
    <row r="133" spans="10:11" x14ac:dyDescent="0.25">
      <c r="J133" s="20" t="s">
        <v>332</v>
      </c>
      <c r="K133" s="20" t="s">
        <v>333</v>
      </c>
    </row>
    <row r="134" spans="10:11" x14ac:dyDescent="0.25">
      <c r="J134" s="20" t="s">
        <v>334</v>
      </c>
      <c r="K134" s="20" t="s">
        <v>335</v>
      </c>
    </row>
    <row r="135" spans="10:11" x14ac:dyDescent="0.25">
      <c r="J135" s="20" t="s">
        <v>336</v>
      </c>
      <c r="K135" s="20" t="s">
        <v>337</v>
      </c>
    </row>
    <row r="136" spans="10:11" x14ac:dyDescent="0.25">
      <c r="J136" s="20" t="s">
        <v>338</v>
      </c>
      <c r="K136" s="20" t="s">
        <v>339</v>
      </c>
    </row>
    <row r="137" spans="10:11" x14ac:dyDescent="0.25">
      <c r="J137" s="20" t="s">
        <v>340</v>
      </c>
      <c r="K137" s="20" t="s">
        <v>341</v>
      </c>
    </row>
    <row r="138" spans="10:11" x14ac:dyDescent="0.25">
      <c r="J138" s="20" t="s">
        <v>342</v>
      </c>
      <c r="K138" s="20" t="s">
        <v>343</v>
      </c>
    </row>
    <row r="139" spans="10:11" x14ac:dyDescent="0.25">
      <c r="J139" s="20" t="s">
        <v>344</v>
      </c>
      <c r="K139" s="20" t="s">
        <v>345</v>
      </c>
    </row>
    <row r="140" spans="10:11" x14ac:dyDescent="0.25">
      <c r="J140" s="20" t="s">
        <v>346</v>
      </c>
      <c r="K140" s="20" t="s">
        <v>347</v>
      </c>
    </row>
    <row r="141" spans="10:11" x14ac:dyDescent="0.25">
      <c r="J141" s="20" t="s">
        <v>348</v>
      </c>
      <c r="K141" s="20" t="s">
        <v>349</v>
      </c>
    </row>
    <row r="142" spans="10:11" x14ac:dyDescent="0.25">
      <c r="J142" s="20" t="s">
        <v>350</v>
      </c>
      <c r="K142" s="20" t="s">
        <v>351</v>
      </c>
    </row>
    <row r="143" spans="10:11" x14ac:dyDescent="0.25">
      <c r="J143" s="20" t="s">
        <v>352</v>
      </c>
      <c r="K143" s="20" t="s">
        <v>353</v>
      </c>
    </row>
    <row r="144" spans="10:11" x14ac:dyDescent="0.25">
      <c r="J144" s="20" t="s">
        <v>354</v>
      </c>
      <c r="K144" s="20" t="s">
        <v>355</v>
      </c>
    </row>
    <row r="145" spans="10:11" x14ac:dyDescent="0.25">
      <c r="J145" s="20" t="s">
        <v>356</v>
      </c>
      <c r="K145" s="20" t="s">
        <v>357</v>
      </c>
    </row>
    <row r="146" spans="10:11" x14ac:dyDescent="0.25">
      <c r="J146" s="20" t="s">
        <v>358</v>
      </c>
      <c r="K146" s="20" t="s">
        <v>359</v>
      </c>
    </row>
    <row r="147" spans="10:11" x14ac:dyDescent="0.25">
      <c r="J147" s="20" t="s">
        <v>360</v>
      </c>
      <c r="K147" s="20" t="s">
        <v>361</v>
      </c>
    </row>
    <row r="148" spans="10:11" x14ac:dyDescent="0.25">
      <c r="J148" s="20" t="s">
        <v>362</v>
      </c>
      <c r="K148" s="20" t="s">
        <v>363</v>
      </c>
    </row>
    <row r="149" spans="10:11" x14ac:dyDescent="0.25">
      <c r="J149" s="20" t="s">
        <v>364</v>
      </c>
      <c r="K149" s="20" t="s">
        <v>365</v>
      </c>
    </row>
    <row r="150" spans="10:11" x14ac:dyDescent="0.25">
      <c r="J150" s="20" t="s">
        <v>366</v>
      </c>
      <c r="K150" s="20" t="s">
        <v>367</v>
      </c>
    </row>
    <row r="151" spans="10:11" x14ac:dyDescent="0.25">
      <c r="J151" s="20" t="s">
        <v>368</v>
      </c>
      <c r="K151" s="20" t="s">
        <v>369</v>
      </c>
    </row>
    <row r="152" spans="10:11" x14ac:dyDescent="0.25">
      <c r="J152" s="20" t="s">
        <v>370</v>
      </c>
      <c r="K152" s="20" t="s">
        <v>371</v>
      </c>
    </row>
    <row r="153" spans="10:11" x14ac:dyDescent="0.25">
      <c r="J153" s="20" t="s">
        <v>372</v>
      </c>
      <c r="K153" s="20" t="s">
        <v>373</v>
      </c>
    </row>
    <row r="154" spans="10:11" x14ac:dyDescent="0.25">
      <c r="J154" s="20" t="s">
        <v>374</v>
      </c>
      <c r="K154" s="20" t="s">
        <v>375</v>
      </c>
    </row>
    <row r="155" spans="10:11" x14ac:dyDescent="0.25">
      <c r="J155" s="20" t="s">
        <v>376</v>
      </c>
      <c r="K155" s="20" t="s">
        <v>377</v>
      </c>
    </row>
    <row r="156" spans="10:11" x14ac:dyDescent="0.25">
      <c r="J156" s="20" t="s">
        <v>378</v>
      </c>
      <c r="K156" s="20" t="s">
        <v>379</v>
      </c>
    </row>
    <row r="157" spans="10:11" x14ac:dyDescent="0.25">
      <c r="J157" s="20" t="s">
        <v>380</v>
      </c>
      <c r="K157" s="20" t="s">
        <v>381</v>
      </c>
    </row>
    <row r="158" spans="10:11" x14ac:dyDescent="0.25">
      <c r="J158" s="20" t="s">
        <v>382</v>
      </c>
      <c r="K158" s="20" t="s">
        <v>383</v>
      </c>
    </row>
    <row r="159" spans="10:11" x14ac:dyDescent="0.25">
      <c r="J159" s="20" t="s">
        <v>384</v>
      </c>
      <c r="K159" s="20" t="s">
        <v>385</v>
      </c>
    </row>
    <row r="160" spans="10:11" x14ac:dyDescent="0.25">
      <c r="J160" s="20" t="s">
        <v>386</v>
      </c>
      <c r="K160" s="20" t="s">
        <v>387</v>
      </c>
    </row>
    <row r="161" spans="10:11" x14ac:dyDescent="0.25">
      <c r="J161" s="20" t="s">
        <v>388</v>
      </c>
      <c r="K161" s="20" t="s">
        <v>389</v>
      </c>
    </row>
    <row r="162" spans="10:11" x14ac:dyDescent="0.25">
      <c r="J162" s="20" t="s">
        <v>390</v>
      </c>
      <c r="K162" s="20" t="s">
        <v>391</v>
      </c>
    </row>
    <row r="163" spans="10:11" x14ac:dyDescent="0.25">
      <c r="J163" s="20" t="s">
        <v>392</v>
      </c>
      <c r="K163" s="20" t="s">
        <v>393</v>
      </c>
    </row>
    <row r="164" spans="10:11" x14ac:dyDescent="0.25">
      <c r="J164" s="20" t="s">
        <v>394</v>
      </c>
      <c r="K164" s="20" t="s">
        <v>395</v>
      </c>
    </row>
    <row r="165" spans="10:11" x14ac:dyDescent="0.25">
      <c r="J165" s="20" t="s">
        <v>396</v>
      </c>
      <c r="K165" s="20" t="s">
        <v>397</v>
      </c>
    </row>
    <row r="166" spans="10:11" x14ac:dyDescent="0.25">
      <c r="J166" s="20" t="s">
        <v>398</v>
      </c>
      <c r="K166" s="20" t="s">
        <v>399</v>
      </c>
    </row>
    <row r="167" spans="10:11" x14ac:dyDescent="0.25">
      <c r="J167" s="20" t="s">
        <v>400</v>
      </c>
      <c r="K167" s="20" t="s">
        <v>401</v>
      </c>
    </row>
    <row r="168" spans="10:11" x14ac:dyDescent="0.25">
      <c r="J168" s="20" t="s">
        <v>402</v>
      </c>
      <c r="K168" s="20" t="s">
        <v>403</v>
      </c>
    </row>
    <row r="169" spans="10:11" x14ac:dyDescent="0.25">
      <c r="J169" s="20" t="s">
        <v>404</v>
      </c>
      <c r="K169" s="20" t="s">
        <v>405</v>
      </c>
    </row>
    <row r="170" spans="10:11" x14ac:dyDescent="0.25">
      <c r="J170" s="20" t="s">
        <v>406</v>
      </c>
      <c r="K170" s="20" t="s">
        <v>407</v>
      </c>
    </row>
    <row r="171" spans="10:11" x14ac:dyDescent="0.25">
      <c r="J171" s="20" t="s">
        <v>408</v>
      </c>
      <c r="K171" s="20" t="s">
        <v>409</v>
      </c>
    </row>
    <row r="172" spans="10:11" x14ac:dyDescent="0.25">
      <c r="J172" s="20" t="s">
        <v>410</v>
      </c>
      <c r="K172" s="20" t="s">
        <v>411</v>
      </c>
    </row>
  </sheetData>
  <sheetProtection selectLockedCells="1"/>
  <dataValidations count="2">
    <dataValidation type="list" allowBlank="1" showInputMessage="1" showErrorMessage="1" sqref="D6">
      <formula1>UnitList</formula1>
    </dataValidation>
    <dataValidation type="list" allowBlank="1" showInputMessage="1" showErrorMessage="1" sqref="D7">
      <formula1>ScaleList</formula1>
    </dataValidation>
  </dataValidations>
  <hyperlinks>
    <hyperlink ref="K23" r:id="rId1"/>
  </hyperlinks>
  <pageMargins left="0.7" right="0.7" top="0.75" bottom="0.75" header="0.3" footer="0.3"/>
  <pageSetup paperSize="9" orientation="portrait" horizontalDpi="4294967295" verticalDpi="18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5" outlineLevelRow="0" outlineLevelCol="0" x14ac:dyDescent="0" defaultColWidth="9.28515625"/>
  <cols>
    <col min="1" max="16384" width="9.28515625" style="20" customWidth="1"/>
  </cols>
  <sheetData/>
  <sheetProtection selectLockedCells="1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5" outlineLevelRow="0" outlineLevelCol="0" x14ac:dyDescent="0" defaultColWidth="9.28515625"/>
  <cols>
    <col min="1" max="16384" width="9.28515625" style="20" customWidth="1"/>
  </cols>
  <sheetData/>
  <sheetProtection selectLockedCells="1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A2" sqref="A2"/>
    </sheetView>
  </sheetViews>
  <sheetFormatPr defaultRowHeight="15" outlineLevelRow="0" outlineLevelCol="0" x14ac:dyDescent="0" defaultColWidth="9.28515625"/>
  <cols>
    <col min="1" max="16384" width="9.28515625" style="20" customWidth="1"/>
  </cols>
  <sheetData/>
  <sheetProtection selectLockedCells="1"/>
  <pageMargins left="0.7" right="0.7" top="0.75" bottom="0.75" header="0.3" footer="0.3"/>
  <pageSetup paperSize="9" orientation="portrait" horizontalDpi="4294967295" verticalDpi="0" scale="100" fitToWidth="1" fitToHeight="1" firstPageNumber="1" useFirstPageNumber="1" copies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 zoomScale="100" zoomScaleNormal="100">
      <selection activeCell="P5" sqref="P5"/>
    </sheetView>
  </sheetViews>
  <sheetFormatPr defaultRowHeight="15" outlineLevelRow="0" outlineLevelCol="0" x14ac:dyDescent="0"/>
  <sheetData>
    <row r="1" spans="1:5" x14ac:dyDescent="0.25">
      <c r="A1" t="s">
        <v>653</v>
      </c>
      <c r="B1" t="s">
        <v>654</v>
      </c>
      <c r="C1" t="s">
        <v>655</v>
      </c>
      <c r="D1" t="s">
        <v>656</v>
      </c>
      <c r="E1" t="s">
        <v>657</v>
      </c>
    </row>
    <row r="2" spans="1:5" x14ac:dyDescent="0.25">
      <c r="A2" t="s">
        <v>658</v>
      </c>
      <c r="B2" t="s">
        <v>654</v>
      </c>
      <c r="C2" t="s">
        <v>659</v>
      </c>
      <c r="D2" t="s">
        <v>656</v>
      </c>
      <c r="E2" t="s">
        <v>660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49"/>
  <sheetViews>
    <sheetView workbookViewId="0" zoomScale="77" zoomScaleNormal="100">
      <selection activeCell="I44" sqref="I44"/>
    </sheetView>
  </sheetViews>
  <sheetFormatPr defaultRowHeight="15" outlineLevelRow="0" outlineLevelCol="0" x14ac:dyDescent="0"/>
  <cols>
    <col min="1" max="2" width="9.28515625" hidden="1" customWidth="1"/>
    <col min="3" max="3" width="76.28515625" hidden="1" customWidth="1"/>
    <col min="4" max="4" width="11.5703125" customWidth="1"/>
    <col min="5" max="5" width="35.28515625" customWidth="1"/>
    <col min="6" max="19" width="30.28515625" customWidth="1"/>
    <col min="20" max="20" width="55" customWidth="1"/>
    <col min="21" max="62" width="30.28515625" customWidth="1"/>
    <col min="63" max="63" width="33.28515625" customWidth="1"/>
    <col min="64" max="64" width="33.7109375" customWidth="1"/>
    <col min="65" max="65" width="31.7109375" customWidth="1"/>
  </cols>
  <sheetData>
    <row r="1" spans="1:12" x14ac:dyDescent="0.25">
      <c r="A1" s="1" t="s">
        <v>412</v>
      </c>
      <c r="D1" s="2" t="s">
        <v>413</v>
      </c>
      <c r="E1" s="2"/>
      <c r="F1" s="2"/>
      <c r="G1" s="2"/>
      <c r="H1" s="2"/>
      <c r="I1" s="2"/>
      <c r="J1" s="2"/>
      <c r="K1" s="2"/>
      <c r="L1" s="2"/>
    </row>
    <row r="2" spans="4:12" x14ac:dyDescent="0.25">
      <c r="D2" s="2"/>
      <c r="E2" s="2"/>
      <c r="F2" s="2"/>
      <c r="G2" s="2"/>
      <c r="H2" s="2"/>
      <c r="I2" s="2"/>
      <c r="J2" s="2"/>
      <c r="K2" s="2"/>
      <c r="L2" s="2"/>
    </row>
    <row r="4" spans="1:14" x14ac:dyDescent="0.25">
      <c r="A4" s="4"/>
      <c r="B4" s="4"/>
      <c r="C4" s="4" t="s">
        <v>414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ht="15.75" customHeight="1" spans="1:14" x14ac:dyDescent="0.25">
      <c r="A7" s="4"/>
      <c r="B7" s="4"/>
      <c r="C7" s="4" t="s">
        <v>3</v>
      </c>
      <c r="D7" s="4" t="s">
        <v>415</v>
      </c>
      <c r="E7" s="4" t="s">
        <v>416</v>
      </c>
      <c r="F7" s="4" t="s">
        <v>4</v>
      </c>
      <c r="G7" s="4"/>
      <c r="H7" s="4"/>
      <c r="I7" s="4" t="s">
        <v>4</v>
      </c>
      <c r="J7" s="4" t="s">
        <v>4</v>
      </c>
      <c r="K7" s="4" t="s">
        <v>4</v>
      </c>
      <c r="L7" s="4"/>
      <c r="M7" s="4" t="s">
        <v>5</v>
      </c>
      <c r="N7" s="4" t="s">
        <v>6</v>
      </c>
    </row>
    <row r="8" ht="19.5" customHeight="1" spans="1:14" x14ac:dyDescent="0.25">
      <c r="A8" s="4"/>
      <c r="B8" s="4"/>
      <c r="C8" s="4" t="s">
        <v>4</v>
      </c>
      <c r="D8" s="1"/>
      <c r="E8" s="1"/>
      <c r="F8" s="32" t="s">
        <v>417</v>
      </c>
      <c r="G8" s="33"/>
      <c r="H8" s="33"/>
      <c r="I8" s="33"/>
      <c r="J8" s="33"/>
      <c r="K8" s="33"/>
      <c r="L8" s="34" t="s">
        <v>418</v>
      </c>
      <c r="N8" s="4"/>
    </row>
    <row r="9" ht="15.75" customHeight="1" spans="1:14" x14ac:dyDescent="0.25">
      <c r="A9" s="4"/>
      <c r="B9" s="4"/>
      <c r="C9" s="4" t="s">
        <v>5</v>
      </c>
      <c r="D9" s="1" t="s">
        <v>66</v>
      </c>
      <c r="E9" s="1" t="s">
        <v>69</v>
      </c>
      <c r="N9" s="4"/>
    </row>
    <row r="10" ht="15.75" customHeight="1" spans="1:14" x14ac:dyDescent="0.25">
      <c r="A10" s="4" t="s">
        <v>419</v>
      </c>
      <c r="B10" s="4"/>
      <c r="C10" s="4"/>
      <c r="D10" s="35" t="s">
        <v>420</v>
      </c>
      <c r="E10" s="36" t="s">
        <v>421</v>
      </c>
      <c r="F10" s="37" t="s">
        <v>422</v>
      </c>
      <c r="G10" s="38"/>
      <c r="H10" s="38"/>
      <c r="I10" s="39"/>
      <c r="J10" s="39"/>
      <c r="K10" s="40"/>
      <c r="L10" s="41"/>
      <c r="N10" s="4"/>
    </row>
    <row r="11" ht="16.5" customHeight="1" spans="1:14" x14ac:dyDescent="0.25">
      <c r="A11" s="4" t="s">
        <v>423</v>
      </c>
      <c r="B11" s="4"/>
      <c r="C11" s="4"/>
      <c r="D11" s="36" t="s">
        <v>424</v>
      </c>
      <c r="E11" s="36" t="s">
        <v>425</v>
      </c>
      <c r="F11" s="42" t="s">
        <v>426</v>
      </c>
      <c r="G11" s="43"/>
      <c r="H11" s="43"/>
      <c r="I11" s="44"/>
      <c r="J11" s="44"/>
      <c r="K11" s="45"/>
      <c r="L11" s="46"/>
      <c r="N11" s="4"/>
    </row>
    <row r="12" ht="16.5" customHeight="1" spans="1:14" x14ac:dyDescent="0.25">
      <c r="A12" s="4"/>
      <c r="B12" s="4"/>
      <c r="C12" s="4" t="s">
        <v>5</v>
      </c>
      <c r="D12" s="1"/>
      <c r="E12" s="1"/>
      <c r="F12" s="47" t="s">
        <v>427</v>
      </c>
      <c r="G12" s="48"/>
      <c r="H12" s="48"/>
      <c r="I12" s="48"/>
      <c r="J12" s="48"/>
      <c r="K12" s="48"/>
      <c r="L12" s="49"/>
      <c r="N12" s="4"/>
    </row>
    <row r="13" ht="15.75" customHeight="1" spans="1:14" x14ac:dyDescent="0.25">
      <c r="A13" s="4"/>
      <c r="B13" s="4"/>
      <c r="C13" s="4"/>
      <c r="D13" s="1"/>
      <c r="E13" s="1"/>
      <c r="F13" s="50"/>
      <c r="G13" s="50"/>
      <c r="H13" s="50"/>
      <c r="I13" s="50"/>
      <c r="J13" s="50"/>
      <c r="K13" s="50"/>
      <c r="L13" s="50"/>
      <c r="N13" s="4"/>
    </row>
    <row r="14" ht="15.75" customHeight="1" spans="1:14" x14ac:dyDescent="0.25">
      <c r="A14" s="4"/>
      <c r="B14" s="4"/>
      <c r="C14" s="4"/>
      <c r="D14" s="1"/>
      <c r="E14" s="1"/>
      <c r="F14" s="50"/>
      <c r="G14" s="50"/>
      <c r="H14" s="50"/>
      <c r="I14" s="50"/>
      <c r="J14" s="50"/>
      <c r="K14" s="50"/>
      <c r="L14" s="50"/>
      <c r="N14" s="4"/>
    </row>
    <row r="15" ht="15.75" customHeight="1" spans="1:14" x14ac:dyDescent="0.25">
      <c r="A15" s="4"/>
      <c r="B15" s="4"/>
      <c r="C15" s="4"/>
      <c r="D15" s="1"/>
      <c r="E15" s="1"/>
      <c r="F15" s="50"/>
      <c r="G15" s="50"/>
      <c r="H15" s="50"/>
      <c r="I15" s="50"/>
      <c r="J15" s="50"/>
      <c r="K15" s="50"/>
      <c r="L15" s="50"/>
      <c r="N15" s="4"/>
    </row>
    <row r="16" ht="15.75" customHeight="1" spans="1:14" x14ac:dyDescent="0.25">
      <c r="A16" s="4"/>
      <c r="B16" s="4"/>
      <c r="C16" s="4"/>
      <c r="D16" s="1"/>
      <c r="E16" s="1"/>
      <c r="F16" s="50"/>
      <c r="G16" s="50"/>
      <c r="H16" s="50"/>
      <c r="I16" s="50"/>
      <c r="J16" s="50"/>
      <c r="K16" s="50"/>
      <c r="L16" s="50"/>
      <c r="N16" s="4"/>
    </row>
    <row r="17" ht="15.75" customHeight="1" spans="1:14" x14ac:dyDescent="0.25">
      <c r="A17" s="4"/>
      <c r="B17" s="4"/>
      <c r="C17" s="4"/>
      <c r="D17" s="1"/>
      <c r="E17" s="1"/>
      <c r="F17" s="50"/>
      <c r="G17" s="50"/>
      <c r="H17" s="50"/>
      <c r="I17" s="50"/>
      <c r="J17" s="50"/>
      <c r="K17" s="50"/>
      <c r="L17" s="50"/>
      <c r="N17" s="4"/>
    </row>
    <row r="18" ht="15.75" customHeight="1" spans="1:14" x14ac:dyDescent="0.25">
      <c r="A18" s="4"/>
      <c r="B18" s="4"/>
      <c r="C18" s="4"/>
      <c r="D18" s="1"/>
      <c r="E18" s="1"/>
      <c r="F18" s="50"/>
      <c r="G18" s="50"/>
      <c r="H18" s="50"/>
      <c r="I18" s="50"/>
      <c r="J18" s="50"/>
      <c r="K18" s="50"/>
      <c r="L18" s="50"/>
      <c r="N18" s="4"/>
    </row>
    <row r="19" ht="15.75" customHeight="1" spans="1:14" x14ac:dyDescent="0.25">
      <c r="A19" s="4"/>
      <c r="B19" s="4"/>
      <c r="C19" s="4"/>
      <c r="D19" s="1"/>
      <c r="E19" s="1"/>
      <c r="F19" s="50"/>
      <c r="G19" s="50"/>
      <c r="H19" s="50"/>
      <c r="I19" s="50"/>
      <c r="J19" s="50"/>
      <c r="K19" s="50"/>
      <c r="L19" s="50"/>
      <c r="N19" s="4"/>
    </row>
    <row r="20" ht="15.75" customHeight="1" spans="1:14" x14ac:dyDescent="0.25">
      <c r="A20" s="4"/>
      <c r="B20" s="4"/>
      <c r="C20" s="4"/>
      <c r="D20" s="1"/>
      <c r="E20" s="1"/>
      <c r="F20" s="50"/>
      <c r="G20" s="50"/>
      <c r="H20" s="50"/>
      <c r="I20" s="50"/>
      <c r="J20" s="50"/>
      <c r="K20" s="50"/>
      <c r="L20" s="50"/>
      <c r="N20" s="4"/>
    </row>
    <row r="21" spans="1:14" x14ac:dyDescent="0.25">
      <c r="A21" s="4"/>
      <c r="B21" s="4"/>
      <c r="C21" s="4" t="s">
        <v>37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 t="s">
        <v>38</v>
      </c>
    </row>
    <row r="25" spans="1:81" x14ac:dyDescent="0.25">
      <c r="A25" s="51"/>
      <c r="B25" s="51"/>
      <c r="C25" s="51" t="s">
        <v>428</v>
      </c>
      <c r="D25" s="51"/>
      <c r="E25" s="51"/>
      <c r="F25" s="4"/>
      <c r="G25" s="4"/>
      <c r="H25" s="4"/>
      <c r="I25" s="4"/>
      <c r="J25" s="4"/>
      <c r="K25" s="4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2"/>
      <c r="BQ25" s="51"/>
      <c r="BR25" s="51"/>
      <c r="BS25" s="51"/>
      <c r="BT25" s="52"/>
      <c r="BU25" s="52"/>
      <c r="BV25" s="52"/>
      <c r="BW25" s="52"/>
      <c r="BX25" s="52"/>
      <c r="BY25" s="52"/>
      <c r="BZ25" s="52"/>
      <c r="CA25" s="52"/>
      <c r="CB25" s="52"/>
      <c r="CC25" s="52"/>
    </row>
    <row r="26" spans="1:81" x14ac:dyDescent="0.25">
      <c r="A26" s="53"/>
      <c r="B26" s="51"/>
      <c r="C26" s="51"/>
      <c r="D26" s="51"/>
      <c r="E26" s="51"/>
      <c r="F26" s="4"/>
      <c r="G26" s="4" t="s">
        <v>429</v>
      </c>
      <c r="H26" s="4" t="s">
        <v>430</v>
      </c>
      <c r="I26" s="4"/>
      <c r="J26" s="4"/>
      <c r="K26" s="4"/>
      <c r="L26" s="51"/>
      <c r="M26" s="51" t="s">
        <v>431</v>
      </c>
      <c r="N26" s="51" t="s">
        <v>432</v>
      </c>
      <c r="O26" s="51"/>
      <c r="P26" s="51" t="s">
        <v>433</v>
      </c>
      <c r="Q26" s="51" t="s">
        <v>434</v>
      </c>
      <c r="R26" s="51" t="s">
        <v>435</v>
      </c>
      <c r="S26" s="51" t="s">
        <v>436</v>
      </c>
      <c r="T26" s="51" t="s">
        <v>437</v>
      </c>
      <c r="U26" s="51" t="s">
        <v>438</v>
      </c>
      <c r="V26" s="51" t="s">
        <v>439</v>
      </c>
      <c r="W26" s="51" t="s">
        <v>440</v>
      </c>
      <c r="X26" s="51" t="s">
        <v>441</v>
      </c>
      <c r="Y26" s="51" t="s">
        <v>442</v>
      </c>
      <c r="Z26" s="51" t="s">
        <v>443</v>
      </c>
      <c r="AA26" s="51" t="s">
        <v>444</v>
      </c>
      <c r="AB26" s="51" t="s">
        <v>445</v>
      </c>
      <c r="AC26" s="51" t="s">
        <v>446</v>
      </c>
      <c r="AD26" s="51" t="s">
        <v>447</v>
      </c>
      <c r="AE26" s="51" t="s">
        <v>448</v>
      </c>
      <c r="AF26" s="51" t="s">
        <v>449</v>
      </c>
      <c r="AG26" s="51" t="s">
        <v>450</v>
      </c>
      <c r="AH26" s="51" t="s">
        <v>451</v>
      </c>
      <c r="AI26" s="51" t="s">
        <v>452</v>
      </c>
      <c r="AJ26" s="51" t="s">
        <v>453</v>
      </c>
      <c r="AK26" s="51" t="s">
        <v>454</v>
      </c>
      <c r="AL26" s="51" t="s">
        <v>455</v>
      </c>
      <c r="AM26" s="51" t="s">
        <v>456</v>
      </c>
      <c r="AN26" s="51" t="s">
        <v>457</v>
      </c>
      <c r="AO26" s="51" t="s">
        <v>458</v>
      </c>
      <c r="AP26" s="51" t="s">
        <v>459</v>
      </c>
      <c r="AQ26" s="51" t="s">
        <v>460</v>
      </c>
      <c r="AR26" s="51" t="s">
        <v>461</v>
      </c>
      <c r="AS26" s="51" t="s">
        <v>462</v>
      </c>
      <c r="AT26" s="51" t="s">
        <v>463</v>
      </c>
      <c r="AU26" s="51" t="s">
        <v>464</v>
      </c>
      <c r="AV26" s="51" t="s">
        <v>465</v>
      </c>
      <c r="AW26" s="51" t="s">
        <v>466</v>
      </c>
      <c r="AX26" s="51" t="s">
        <v>467</v>
      </c>
      <c r="AY26" s="51" t="s">
        <v>468</v>
      </c>
      <c r="AZ26" s="51" t="s">
        <v>469</v>
      </c>
      <c r="BA26" s="51" t="s">
        <v>470</v>
      </c>
      <c r="BB26" s="51" t="s">
        <v>471</v>
      </c>
      <c r="BC26" s="51" t="s">
        <v>472</v>
      </c>
      <c r="BD26" s="51" t="s">
        <v>473</v>
      </c>
      <c r="BE26" s="51" t="s">
        <v>474</v>
      </c>
      <c r="BF26" s="51" t="s">
        <v>475</v>
      </c>
      <c r="BG26" s="51" t="s">
        <v>476</v>
      </c>
      <c r="BH26" s="51" t="s">
        <v>477</v>
      </c>
      <c r="BI26" s="51" t="s">
        <v>478</v>
      </c>
      <c r="BJ26" s="51" t="s">
        <v>479</v>
      </c>
      <c r="BK26" s="51" t="s">
        <v>480</v>
      </c>
      <c r="BL26" s="51" t="s">
        <v>481</v>
      </c>
      <c r="BM26" s="51" t="s">
        <v>482</v>
      </c>
      <c r="BN26" s="51"/>
      <c r="BO26" s="54"/>
      <c r="BP26" s="52"/>
      <c r="BQ26" s="51"/>
      <c r="BR26" s="51"/>
      <c r="BS26" s="51"/>
      <c r="BT26" s="52"/>
      <c r="BU26" s="52"/>
      <c r="BV26" s="52"/>
      <c r="BW26" s="52"/>
      <c r="BX26" s="52"/>
      <c r="BY26" s="52"/>
      <c r="BZ26" s="52"/>
      <c r="CA26" s="52"/>
      <c r="CB26" s="52"/>
      <c r="CC26" s="52"/>
    </row>
    <row r="27" spans="1:81" x14ac:dyDescent="0.25">
      <c r="A27" s="53"/>
      <c r="B27" s="51"/>
      <c r="C27" s="51"/>
      <c r="D27" s="51"/>
      <c r="E27" s="51" t="s">
        <v>483</v>
      </c>
      <c r="F27" s="51" t="s">
        <v>484</v>
      </c>
      <c r="G27" s="51"/>
      <c r="H27" s="51"/>
      <c r="I27" s="51" t="s">
        <v>485</v>
      </c>
      <c r="J27" s="51" t="s">
        <v>486</v>
      </c>
      <c r="K27" s="51" t="s">
        <v>487</v>
      </c>
      <c r="L27" s="51" t="s">
        <v>488</v>
      </c>
      <c r="M27" s="51"/>
      <c r="N27" s="51"/>
      <c r="O27" s="51" t="s">
        <v>489</v>
      </c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2"/>
      <c r="BQ27" s="51"/>
      <c r="BR27" s="51"/>
      <c r="BS27" s="51"/>
      <c r="BT27" s="52"/>
      <c r="BU27" s="52"/>
      <c r="BV27" s="52"/>
      <c r="BW27" s="52"/>
      <c r="BX27" s="52"/>
      <c r="BY27" s="52"/>
      <c r="BZ27" s="52"/>
      <c r="CA27" s="52"/>
      <c r="CB27" s="52"/>
      <c r="CC27" s="52"/>
    </row>
    <row r="28" spans="1:81" x14ac:dyDescent="0.25">
      <c r="A28" s="53"/>
      <c r="B28" s="51"/>
      <c r="C28" s="51" t="s">
        <v>3</v>
      </c>
      <c r="D28" s="51" t="s">
        <v>490</v>
      </c>
      <c r="E28" s="51" t="s">
        <v>491</v>
      </c>
      <c r="F28" s="51" t="s">
        <v>491</v>
      </c>
      <c r="G28" s="51"/>
      <c r="H28" s="51"/>
      <c r="I28" s="51" t="s">
        <v>491</v>
      </c>
      <c r="J28" s="51" t="s">
        <v>491</v>
      </c>
      <c r="K28" s="51" t="s">
        <v>491</v>
      </c>
      <c r="L28" s="51" t="s">
        <v>491</v>
      </c>
      <c r="M28" s="51"/>
      <c r="N28" s="51"/>
      <c r="O28" s="51" t="s">
        <v>491</v>
      </c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 t="s">
        <v>5</v>
      </c>
      <c r="BO28" s="51" t="s">
        <v>6</v>
      </c>
      <c r="BP28" s="52"/>
      <c r="BQ28" s="51"/>
      <c r="BR28" s="51"/>
      <c r="BS28" s="51"/>
      <c r="BT28" s="52"/>
      <c r="BU28" s="52"/>
      <c r="BV28" s="52"/>
      <c r="BW28" s="52"/>
      <c r="BX28" s="52"/>
      <c r="BY28" s="52"/>
      <c r="BZ28" s="52"/>
      <c r="CA28" s="52"/>
      <c r="CB28" s="52"/>
      <c r="CC28" s="52"/>
    </row>
    <row r="29" ht="18.75" customHeight="1" spans="1:81" x14ac:dyDescent="0.25">
      <c r="A29" s="53"/>
      <c r="B29" s="51"/>
      <c r="C29" s="51" t="s">
        <v>4</v>
      </c>
      <c r="D29" s="55" t="s">
        <v>492</v>
      </c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7" t="s">
        <v>493</v>
      </c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57"/>
      <c r="BE29" s="57"/>
      <c r="BF29" s="57"/>
      <c r="BG29" s="57"/>
      <c r="BH29" s="57"/>
      <c r="BI29" s="57"/>
      <c r="BJ29" s="57"/>
      <c r="BK29" s="57"/>
      <c r="BL29" s="57"/>
      <c r="BM29" s="58"/>
      <c r="BN29" s="52"/>
      <c r="BO29" s="51"/>
      <c r="BP29" s="52"/>
      <c r="BQ29" s="51"/>
      <c r="BR29" s="51"/>
      <c r="BS29" s="51"/>
      <c r="BT29" s="52"/>
      <c r="BU29" s="52"/>
      <c r="BV29" s="52"/>
      <c r="BW29" s="52"/>
      <c r="BX29" s="52"/>
      <c r="BY29" s="52"/>
      <c r="BZ29" s="52"/>
      <c r="CA29" s="52"/>
      <c r="CB29" s="52"/>
      <c r="CC29" s="52"/>
    </row>
    <row r="30" ht="29.25" customHeight="1" spans="1:81" x14ac:dyDescent="0.25">
      <c r="A30" s="53"/>
      <c r="B30" s="51"/>
      <c r="C30" s="51" t="s">
        <v>4</v>
      </c>
      <c r="D30" s="59" t="s">
        <v>494</v>
      </c>
      <c r="E30" s="59" t="s">
        <v>495</v>
      </c>
      <c r="F30" s="59" t="s">
        <v>496</v>
      </c>
      <c r="G30" s="59" t="s">
        <v>497</v>
      </c>
      <c r="H30" s="59" t="s">
        <v>498</v>
      </c>
      <c r="I30" s="59" t="s">
        <v>499</v>
      </c>
      <c r="J30" s="59" t="s">
        <v>500</v>
      </c>
      <c r="K30" s="59" t="s">
        <v>501</v>
      </c>
      <c r="L30" s="60" t="s">
        <v>502</v>
      </c>
      <c r="M30" s="59" t="s">
        <v>503</v>
      </c>
      <c r="N30" s="59" t="s">
        <v>504</v>
      </c>
      <c r="O30" s="59" t="s">
        <v>505</v>
      </c>
      <c r="P30" s="59" t="s">
        <v>506</v>
      </c>
      <c r="Q30" s="59" t="s">
        <v>507</v>
      </c>
      <c r="R30" s="59" t="s">
        <v>508</v>
      </c>
      <c r="S30" s="61" t="s">
        <v>509</v>
      </c>
      <c r="T30" s="61" t="s">
        <v>510</v>
      </c>
      <c r="U30" s="59" t="s">
        <v>511</v>
      </c>
      <c r="V30" s="59" t="s">
        <v>512</v>
      </c>
      <c r="W30" s="61" t="s">
        <v>513</v>
      </c>
      <c r="X30" s="61" t="s">
        <v>514</v>
      </c>
      <c r="Y30" s="61" t="s">
        <v>515</v>
      </c>
      <c r="Z30" s="61" t="s">
        <v>516</v>
      </c>
      <c r="AA30" s="61" t="s">
        <v>517</v>
      </c>
      <c r="AB30" s="61" t="s">
        <v>518</v>
      </c>
      <c r="AC30" s="61" t="s">
        <v>519</v>
      </c>
      <c r="AD30" s="59" t="s">
        <v>520</v>
      </c>
      <c r="AE30" s="59" t="s">
        <v>521</v>
      </c>
      <c r="AF30" s="59"/>
      <c r="AG30" s="59"/>
      <c r="AH30" s="59"/>
      <c r="AI30" s="59"/>
      <c r="AJ30" s="59"/>
      <c r="AK30" s="59"/>
      <c r="AL30" s="59"/>
      <c r="AM30" s="59"/>
      <c r="AN30" s="59" t="s">
        <v>522</v>
      </c>
      <c r="AO30" s="59" t="s">
        <v>523</v>
      </c>
      <c r="AP30" s="59" t="s">
        <v>524</v>
      </c>
      <c r="AQ30" s="59" t="s">
        <v>525</v>
      </c>
      <c r="AR30" s="59" t="s">
        <v>526</v>
      </c>
      <c r="AS30" s="59"/>
      <c r="AT30" s="59"/>
      <c r="AU30" s="59"/>
      <c r="AV30" s="59"/>
      <c r="AW30" s="59"/>
      <c r="AX30" s="59"/>
      <c r="AY30" s="59" t="s">
        <v>527</v>
      </c>
      <c r="AZ30" s="59" t="s">
        <v>528</v>
      </c>
      <c r="BA30" s="59" t="s">
        <v>529</v>
      </c>
      <c r="BB30" s="59" t="s">
        <v>530</v>
      </c>
      <c r="BC30" s="61" t="s">
        <v>531</v>
      </c>
      <c r="BD30" s="59" t="s">
        <v>532</v>
      </c>
      <c r="BE30" s="59" t="s">
        <v>533</v>
      </c>
      <c r="BF30" s="59" t="s">
        <v>534</v>
      </c>
      <c r="BG30" s="59" t="s">
        <v>535</v>
      </c>
      <c r="BH30" s="59" t="s">
        <v>536</v>
      </c>
      <c r="BI30" s="59" t="s">
        <v>537</v>
      </c>
      <c r="BJ30" s="59" t="s">
        <v>538</v>
      </c>
      <c r="BK30" s="59" t="s">
        <v>539</v>
      </c>
      <c r="BL30" s="59" t="s">
        <v>540</v>
      </c>
      <c r="BM30" s="59" t="s">
        <v>541</v>
      </c>
      <c r="BN30" s="52"/>
      <c r="BO30" s="51"/>
      <c r="BP30" s="52"/>
      <c r="BQ30" s="51"/>
      <c r="BR30" s="51"/>
      <c r="BS30" s="51"/>
      <c r="BT30" s="52"/>
      <c r="BU30" s="52"/>
      <c r="BV30" s="52"/>
      <c r="BW30" s="52"/>
      <c r="BX30" s="52"/>
      <c r="BY30" s="52"/>
      <c r="BZ30" s="52"/>
      <c r="CA30" s="52"/>
      <c r="CB30" s="52"/>
      <c r="CC30" s="52"/>
    </row>
    <row r="31" ht="33" customHeight="1" spans="1:81" x14ac:dyDescent="0.25">
      <c r="A31" s="53"/>
      <c r="B31" s="51"/>
      <c r="C31" s="51" t="s">
        <v>4</v>
      </c>
      <c r="D31" s="59"/>
      <c r="E31" s="59"/>
      <c r="F31" s="59"/>
      <c r="G31" s="59"/>
      <c r="H31" s="59"/>
      <c r="I31" s="59"/>
      <c r="J31" s="59"/>
      <c r="K31" s="59"/>
      <c r="L31" s="60"/>
      <c r="M31" s="59"/>
      <c r="N31" s="59"/>
      <c r="O31" s="59"/>
      <c r="P31" s="59"/>
      <c r="Q31" s="59"/>
      <c r="R31" s="59"/>
      <c r="S31" s="62"/>
      <c r="T31" s="62"/>
      <c r="U31" s="59"/>
      <c r="V31" s="59"/>
      <c r="W31" s="62"/>
      <c r="X31" s="62"/>
      <c r="Y31" s="62"/>
      <c r="Z31" s="62"/>
      <c r="AA31" s="62"/>
      <c r="AB31" s="62"/>
      <c r="AC31" s="62"/>
      <c r="AD31" s="59"/>
      <c r="AE31" s="59" t="s">
        <v>542</v>
      </c>
      <c r="AF31" s="59" t="s">
        <v>543</v>
      </c>
      <c r="AG31" s="59" t="s">
        <v>544</v>
      </c>
      <c r="AH31" s="59" t="s">
        <v>545</v>
      </c>
      <c r="AI31" s="59" t="s">
        <v>546</v>
      </c>
      <c r="AJ31" s="59" t="s">
        <v>547</v>
      </c>
      <c r="AK31" s="59" t="s">
        <v>548</v>
      </c>
      <c r="AL31" s="59" t="s">
        <v>549</v>
      </c>
      <c r="AM31" s="59" t="s">
        <v>550</v>
      </c>
      <c r="AN31" s="59"/>
      <c r="AO31" s="59"/>
      <c r="AP31" s="59"/>
      <c r="AQ31" s="59"/>
      <c r="AR31" s="59" t="s">
        <v>551</v>
      </c>
      <c r="AS31" s="59" t="s">
        <v>552</v>
      </c>
      <c r="AT31" s="59" t="s">
        <v>553</v>
      </c>
      <c r="AU31" s="59" t="s">
        <v>554</v>
      </c>
      <c r="AV31" s="59" t="s">
        <v>555</v>
      </c>
      <c r="AW31" s="59" t="s">
        <v>556</v>
      </c>
      <c r="AX31" s="59" t="s">
        <v>557</v>
      </c>
      <c r="AY31" s="59"/>
      <c r="AZ31" s="59"/>
      <c r="BA31" s="59"/>
      <c r="BB31" s="59"/>
      <c r="BC31" s="62"/>
      <c r="BD31" s="59"/>
      <c r="BE31" s="59"/>
      <c r="BF31" s="59"/>
      <c r="BG31" s="59"/>
      <c r="BH31" s="59"/>
      <c r="BI31" s="59"/>
      <c r="BJ31" s="59"/>
      <c r="BK31" s="59"/>
      <c r="BL31" s="59"/>
      <c r="BM31" s="59"/>
      <c r="BN31" s="52"/>
      <c r="BO31" s="51"/>
      <c r="BP31" s="52"/>
      <c r="BQ31" s="51"/>
      <c r="BR31" s="51"/>
      <c r="BS31" s="51"/>
      <c r="BT31" s="52"/>
      <c r="BU31" s="52"/>
      <c r="BV31" s="52"/>
      <c r="BW31" s="52"/>
      <c r="BX31" s="52"/>
      <c r="BY31" s="52"/>
      <c r="BZ31" s="52"/>
      <c r="CA31" s="52"/>
      <c r="CB31" s="52"/>
      <c r="CC31" s="52"/>
    </row>
    <row r="32" ht="33" customHeight="1" spans="1:81" x14ac:dyDescent="0.25">
      <c r="A32" s="53"/>
      <c r="B32" s="51"/>
      <c r="C32" s="51" t="s">
        <v>4</v>
      </c>
      <c r="D32" s="59"/>
      <c r="E32" s="59"/>
      <c r="F32" s="59"/>
      <c r="G32" s="59"/>
      <c r="H32" s="59"/>
      <c r="I32" s="59"/>
      <c r="J32" s="59"/>
      <c r="K32" s="59"/>
      <c r="L32" s="60"/>
      <c r="M32" s="59"/>
      <c r="N32" s="59"/>
      <c r="O32" s="59"/>
      <c r="P32" s="59"/>
      <c r="Q32" s="59"/>
      <c r="R32" s="59"/>
      <c r="S32" s="63"/>
      <c r="T32" s="63"/>
      <c r="U32" s="59"/>
      <c r="V32" s="59"/>
      <c r="W32" s="63"/>
      <c r="X32" s="63"/>
      <c r="Y32" s="63"/>
      <c r="Z32" s="63"/>
      <c r="AA32" s="63"/>
      <c r="AB32" s="63"/>
      <c r="AC32" s="63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63"/>
      <c r="BD32" s="59"/>
      <c r="BE32" s="59"/>
      <c r="BF32" s="59"/>
      <c r="BG32" s="59"/>
      <c r="BH32" s="59"/>
      <c r="BI32" s="59"/>
      <c r="BJ32" s="59"/>
      <c r="BK32" s="59"/>
      <c r="BL32" s="59"/>
      <c r="BM32" s="59"/>
      <c r="BN32" s="52"/>
      <c r="BO32" s="51"/>
      <c r="BP32" s="52"/>
      <c r="BQ32" s="51"/>
      <c r="BR32" s="51"/>
      <c r="BS32" s="51"/>
      <c r="BT32" s="52"/>
      <c r="BU32" s="52"/>
      <c r="BV32" s="52"/>
      <c r="BW32" s="52"/>
      <c r="BX32" s="52"/>
      <c r="BY32" s="52"/>
      <c r="BZ32" s="52"/>
      <c r="CA32" s="52"/>
      <c r="CB32" s="52"/>
      <c r="CC32" s="52"/>
    </row>
    <row r="33" ht="18.75" customHeight="1" spans="1:81" x14ac:dyDescent="0.25">
      <c r="A33" s="53"/>
      <c r="B33" s="51"/>
      <c r="C33" s="51" t="s">
        <v>4</v>
      </c>
      <c r="D33" s="59" t="s">
        <v>558</v>
      </c>
      <c r="E33" s="59" t="s">
        <v>559</v>
      </c>
      <c r="F33" s="59" t="s">
        <v>560</v>
      </c>
      <c r="G33" s="59" t="s">
        <v>561</v>
      </c>
      <c r="H33" s="59" t="s">
        <v>562</v>
      </c>
      <c r="I33" s="59" t="s">
        <v>563</v>
      </c>
      <c r="J33" s="60" t="s">
        <v>564</v>
      </c>
      <c r="K33" s="59" t="s">
        <v>565</v>
      </c>
      <c r="L33" s="59" t="s">
        <v>566</v>
      </c>
      <c r="M33" s="59" t="s">
        <v>567</v>
      </c>
      <c r="N33" s="59" t="s">
        <v>568</v>
      </c>
      <c r="O33" s="59" t="s">
        <v>569</v>
      </c>
      <c r="P33" s="59" t="s">
        <v>570</v>
      </c>
      <c r="Q33" s="59" t="s">
        <v>571</v>
      </c>
      <c r="R33" s="59" t="s">
        <v>572</v>
      </c>
      <c r="S33" s="59" t="s">
        <v>573</v>
      </c>
      <c r="T33" s="59" t="s">
        <v>574</v>
      </c>
      <c r="U33" s="59" t="s">
        <v>575</v>
      </c>
      <c r="V33" s="59" t="s">
        <v>576</v>
      </c>
      <c r="W33" s="59" t="s">
        <v>577</v>
      </c>
      <c r="X33" s="59" t="s">
        <v>578</v>
      </c>
      <c r="Y33" s="59" t="s">
        <v>579</v>
      </c>
      <c r="Z33" s="59" t="s">
        <v>580</v>
      </c>
      <c r="AA33" s="59" t="s">
        <v>581</v>
      </c>
      <c r="AB33" s="59" t="s">
        <v>582</v>
      </c>
      <c r="AC33" s="59" t="s">
        <v>583</v>
      </c>
      <c r="AD33" s="59" t="s">
        <v>584</v>
      </c>
      <c r="AE33" s="59" t="s">
        <v>585</v>
      </c>
      <c r="AF33" s="59" t="s">
        <v>586</v>
      </c>
      <c r="AG33" s="59" t="s">
        <v>587</v>
      </c>
      <c r="AH33" s="59" t="s">
        <v>588</v>
      </c>
      <c r="AI33" s="59" t="s">
        <v>589</v>
      </c>
      <c r="AJ33" s="59" t="s">
        <v>590</v>
      </c>
      <c r="AK33" s="59" t="s">
        <v>591</v>
      </c>
      <c r="AL33" s="59" t="s">
        <v>592</v>
      </c>
      <c r="AM33" s="59" t="s">
        <v>593</v>
      </c>
      <c r="AN33" s="59" t="s">
        <v>594</v>
      </c>
      <c r="AO33" s="59" t="s">
        <v>595</v>
      </c>
      <c r="AP33" s="59" t="s">
        <v>596</v>
      </c>
      <c r="AQ33" s="59" t="s">
        <v>597</v>
      </c>
      <c r="AR33" s="59" t="s">
        <v>598</v>
      </c>
      <c r="AS33" s="59" t="s">
        <v>599</v>
      </c>
      <c r="AT33" s="59" t="s">
        <v>600</v>
      </c>
      <c r="AU33" s="59" t="s">
        <v>601</v>
      </c>
      <c r="AV33" s="59" t="s">
        <v>602</v>
      </c>
      <c r="AW33" s="59" t="s">
        <v>603</v>
      </c>
      <c r="AX33" s="59" t="s">
        <v>604</v>
      </c>
      <c r="AY33" s="59" t="s">
        <v>605</v>
      </c>
      <c r="AZ33" s="59" t="s">
        <v>606</v>
      </c>
      <c r="BA33" s="59" t="s">
        <v>607</v>
      </c>
      <c r="BB33" s="59" t="s">
        <v>608</v>
      </c>
      <c r="BC33" s="59" t="s">
        <v>609</v>
      </c>
      <c r="BD33" s="59" t="s">
        <v>610</v>
      </c>
      <c r="BE33" s="59" t="s">
        <v>611</v>
      </c>
      <c r="BF33" s="59" t="s">
        <v>612</v>
      </c>
      <c r="BG33" s="59" t="s">
        <v>613</v>
      </c>
      <c r="BH33" s="59" t="s">
        <v>614</v>
      </c>
      <c r="BI33" s="59" t="s">
        <v>615</v>
      </c>
      <c r="BJ33" s="59" t="s">
        <v>616</v>
      </c>
      <c r="BK33" s="59" t="s">
        <v>617</v>
      </c>
      <c r="BL33" s="59" t="s">
        <v>618</v>
      </c>
      <c r="BM33" s="59" t="s">
        <v>619</v>
      </c>
      <c r="BN33" s="52"/>
      <c r="BO33" s="51"/>
      <c r="BP33" s="52"/>
      <c r="BQ33" s="51"/>
      <c r="BR33" s="51"/>
      <c r="BS33" s="51"/>
      <c r="BT33" s="52"/>
      <c r="BU33" s="52"/>
      <c r="BV33" s="52"/>
      <c r="BW33" s="52"/>
      <c r="BX33" s="52"/>
      <c r="BY33" s="52"/>
      <c r="BZ33" s="52"/>
      <c r="CA33" s="52"/>
      <c r="CB33" s="52"/>
      <c r="CC33" s="52"/>
    </row>
    <row r="34" spans="1:81" x14ac:dyDescent="0.25">
      <c r="A34" s="51"/>
      <c r="B34" s="51"/>
      <c r="C34" s="51" t="s">
        <v>5</v>
      </c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2"/>
      <c r="BK34" s="52"/>
      <c r="BL34" s="52"/>
      <c r="BM34" s="52"/>
      <c r="BN34" s="52"/>
      <c r="BO34" s="51"/>
      <c r="BP34" s="52"/>
      <c r="BQ34" s="51"/>
      <c r="BR34" s="51"/>
      <c r="BS34" s="51"/>
      <c r="BT34" s="52"/>
      <c r="BU34" s="52"/>
      <c r="BV34" s="52"/>
      <c r="BW34" s="52"/>
      <c r="BX34" s="52"/>
      <c r="BY34" s="52"/>
      <c r="BZ34" s="52"/>
      <c r="CA34" s="52"/>
      <c r="CB34" s="52"/>
      <c r="CC34" s="52"/>
    </row>
    <row r="35" spans="1:81" x14ac:dyDescent="0.25">
      <c r="A35" s="5"/>
      <c r="B35" s="4"/>
      <c r="C35" s="64"/>
      <c r="D35" s="65"/>
      <c r="E35" s="65"/>
      <c r="F35" s="65"/>
      <c r="G35" s="66"/>
      <c r="H35" s="67"/>
      <c r="I35" s="65"/>
      <c r="J35" s="65"/>
      <c r="K35" s="65"/>
      <c r="L35" s="65"/>
      <c r="M35" s="68"/>
      <c r="N35" s="68"/>
      <c r="O35" s="65"/>
      <c r="P35" s="9"/>
      <c r="Q35" s="68"/>
      <c r="R35" s="68"/>
      <c r="S35" s="69"/>
      <c r="T35" s="70"/>
      <c r="U35" s="68"/>
      <c r="V35" s="68"/>
      <c r="W35" s="69"/>
      <c r="X35" s="68"/>
      <c r="Y35" s="69"/>
      <c r="Z35" s="69"/>
      <c r="AA35" s="68"/>
      <c r="AB35" s="70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2"/>
      <c r="AN35" s="71"/>
      <c r="AO35" s="71"/>
      <c r="AP35" s="71"/>
      <c r="AQ35" s="71"/>
      <c r="AR35" s="71"/>
      <c r="AS35" s="71"/>
      <c r="AT35" s="71"/>
      <c r="AU35" s="71"/>
      <c r="AV35" s="71"/>
      <c r="AW35" s="71"/>
      <c r="AX35" s="72"/>
      <c r="AY35" s="71"/>
      <c r="AZ35" s="71"/>
      <c r="BA35" s="72"/>
      <c r="BB35" s="72"/>
      <c r="BC35" s="71"/>
      <c r="BD35" s="72"/>
      <c r="BE35" s="73"/>
      <c r="BF35" s="71"/>
      <c r="BG35" s="72"/>
      <c r="BH35" s="71"/>
      <c r="BI35" s="73"/>
      <c r="BJ35" s="71"/>
      <c r="BK35" s="71"/>
      <c r="BL35" s="71"/>
      <c r="BM35" s="70"/>
      <c r="BN35" s="74"/>
      <c r="BO35" s="4"/>
      <c r="BP35" s="74"/>
      <c r="BQ35" s="4"/>
      <c r="BR35" s="4"/>
      <c r="BS35" s="4"/>
      <c r="BT35" s="74"/>
      <c r="BU35" s="74"/>
      <c r="BV35" s="74"/>
      <c r="BW35" s="74"/>
      <c r="BX35" s="74"/>
      <c r="BY35" s="74"/>
      <c r="BZ35" s="74"/>
      <c r="CA35" s="74"/>
      <c r="CB35" s="74"/>
      <c r="CC35" s="74"/>
    </row>
    <row r="36" spans="1:81" x14ac:dyDescent="0.25">
      <c r="A36" s="53"/>
      <c r="B36" s="51"/>
      <c r="C36" s="51" t="s">
        <v>5</v>
      </c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  <c r="BK36" s="52"/>
      <c r="BL36" s="52"/>
      <c r="BM36" s="52"/>
      <c r="BN36" s="52"/>
      <c r="BO36" s="51"/>
      <c r="BP36" s="52"/>
      <c r="BQ36" s="51"/>
      <c r="BR36" s="51"/>
      <c r="BS36" s="51"/>
      <c r="BT36" s="52"/>
      <c r="BU36" s="52"/>
      <c r="BV36" s="52"/>
      <c r="BW36" s="52"/>
      <c r="BX36" s="52"/>
      <c r="BY36" s="52"/>
      <c r="BZ36" s="52"/>
      <c r="CA36" s="52"/>
      <c r="CB36" s="52"/>
      <c r="CC36" s="52"/>
    </row>
    <row r="37" spans="1:81" x14ac:dyDescent="0.25">
      <c r="A37" s="53"/>
      <c r="B37" s="51"/>
      <c r="C37" s="51" t="s">
        <v>37</v>
      </c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 t="s">
        <v>38</v>
      </c>
      <c r="BP37" s="52"/>
      <c r="BQ37" s="51"/>
      <c r="BR37" s="51"/>
      <c r="BS37" s="51"/>
      <c r="BT37" s="52"/>
      <c r="BU37" s="52"/>
      <c r="BV37" s="52"/>
      <c r="BW37" s="52"/>
      <c r="BX37" s="52"/>
      <c r="BY37" s="52"/>
      <c r="BZ37" s="52"/>
      <c r="CA37" s="52"/>
      <c r="CB37" s="52"/>
      <c r="CC37" s="52"/>
    </row>
    <row r="39" spans="1:76" x14ac:dyDescent="0.25">
      <c r="A39" s="5"/>
      <c r="B39" s="4"/>
      <c r="C39" s="4" t="s">
        <v>620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74"/>
      <c r="BQ39" s="4"/>
      <c r="BR39" s="4"/>
      <c r="BS39" s="4"/>
      <c r="BT39" s="74"/>
      <c r="BU39" s="74"/>
      <c r="BV39" s="74"/>
      <c r="BW39" s="74"/>
      <c r="BX39" s="74"/>
    </row>
    <row r="40" spans="1:76" x14ac:dyDescent="0.25">
      <c r="A40" s="5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 t="s">
        <v>446</v>
      </c>
      <c r="AD40" s="51" t="s">
        <v>447</v>
      </c>
      <c r="AE40" s="51" t="s">
        <v>448</v>
      </c>
      <c r="AF40" s="51" t="s">
        <v>449</v>
      </c>
      <c r="AG40" s="51" t="s">
        <v>450</v>
      </c>
      <c r="AH40" s="51" t="s">
        <v>451</v>
      </c>
      <c r="AI40" s="51" t="s">
        <v>452</v>
      </c>
      <c r="AJ40" s="51" t="s">
        <v>453</v>
      </c>
      <c r="AK40" s="51" t="s">
        <v>454</v>
      </c>
      <c r="AL40" s="51" t="s">
        <v>455</v>
      </c>
      <c r="AM40" s="51" t="s">
        <v>456</v>
      </c>
      <c r="AN40" s="51" t="s">
        <v>457</v>
      </c>
      <c r="AO40" s="51" t="s">
        <v>458</v>
      </c>
      <c r="AP40" s="51" t="s">
        <v>459</v>
      </c>
      <c r="AQ40" s="51" t="s">
        <v>460</v>
      </c>
      <c r="AR40" s="51" t="s">
        <v>461</v>
      </c>
      <c r="AS40" s="51" t="s">
        <v>462</v>
      </c>
      <c r="AT40" s="51" t="s">
        <v>463</v>
      </c>
      <c r="AU40" s="51" t="s">
        <v>464</v>
      </c>
      <c r="AV40" s="51" t="s">
        <v>465</v>
      </c>
      <c r="AW40" s="51" t="s">
        <v>466</v>
      </c>
      <c r="AX40" s="51" t="s">
        <v>467</v>
      </c>
      <c r="AY40" s="51" t="s">
        <v>468</v>
      </c>
      <c r="AZ40" s="51" t="s">
        <v>469</v>
      </c>
      <c r="BA40" s="51" t="s">
        <v>470</v>
      </c>
      <c r="BB40" s="51" t="s">
        <v>471</v>
      </c>
      <c r="BC40" s="51" t="s">
        <v>472</v>
      </c>
      <c r="BD40" s="51" t="s">
        <v>473</v>
      </c>
      <c r="BE40" s="51" t="s">
        <v>474</v>
      </c>
      <c r="BF40" s="51" t="s">
        <v>475</v>
      </c>
      <c r="BG40" s="51" t="s">
        <v>476</v>
      </c>
      <c r="BH40" s="51" t="s">
        <v>477</v>
      </c>
      <c r="BI40" s="51" t="s">
        <v>478</v>
      </c>
      <c r="BJ40" s="51" t="s">
        <v>479</v>
      </c>
      <c r="BK40" s="51" t="s">
        <v>480</v>
      </c>
      <c r="BL40" s="51" t="s">
        <v>481</v>
      </c>
      <c r="BM40" s="51" t="s">
        <v>482</v>
      </c>
      <c r="BN40" s="4"/>
      <c r="BO40" s="4"/>
      <c r="BP40" s="74"/>
      <c r="BQ40" s="4"/>
      <c r="BR40" s="4"/>
      <c r="BS40" s="4"/>
      <c r="BT40" s="74"/>
      <c r="BU40" s="74"/>
      <c r="BV40" s="74"/>
      <c r="BW40" s="74"/>
      <c r="BX40" s="74"/>
    </row>
    <row r="41" spans="1:76" x14ac:dyDescent="0.25">
      <c r="A41" s="5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74"/>
      <c r="BQ41" s="4"/>
      <c r="BR41" s="4"/>
      <c r="BS41" s="4"/>
      <c r="BT41" s="74"/>
      <c r="BU41" s="74"/>
      <c r="BV41" s="74"/>
      <c r="BW41" s="74"/>
      <c r="BX41" s="74"/>
    </row>
    <row r="42" spans="1:76" x14ac:dyDescent="0.25">
      <c r="A42" s="5"/>
      <c r="B42" s="4"/>
      <c r="C42" s="4" t="s">
        <v>3</v>
      </c>
      <c r="D42" s="4" t="s">
        <v>4</v>
      </c>
      <c r="E42" s="4" t="s">
        <v>4</v>
      </c>
      <c r="F42" s="4" t="s">
        <v>4</v>
      </c>
      <c r="G42" s="4"/>
      <c r="H42" s="4"/>
      <c r="I42" s="4" t="s">
        <v>4</v>
      </c>
      <c r="J42" s="4" t="s">
        <v>4</v>
      </c>
      <c r="K42" s="4" t="s">
        <v>4</v>
      </c>
      <c r="L42" s="4" t="s">
        <v>4</v>
      </c>
      <c r="M42" s="4" t="s">
        <v>4</v>
      </c>
      <c r="N42" s="4" t="s">
        <v>4</v>
      </c>
      <c r="O42" s="4" t="s">
        <v>4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 t="s">
        <v>5</v>
      </c>
      <c r="BO42" s="4" t="s">
        <v>6</v>
      </c>
      <c r="BP42" s="74"/>
      <c r="BQ42" s="4"/>
      <c r="BR42" s="4"/>
      <c r="BS42" s="4"/>
      <c r="BT42" s="74"/>
      <c r="BU42" s="74"/>
      <c r="BV42" s="74"/>
      <c r="BW42" s="74"/>
      <c r="BX42" s="74"/>
    </row>
    <row r="43" spans="1:76" x14ac:dyDescent="0.25">
      <c r="A43" s="5"/>
      <c r="B43" s="4"/>
      <c r="C43" s="4" t="s">
        <v>5</v>
      </c>
      <c r="D43" s="74"/>
      <c r="BO43" s="4"/>
      <c r="BP43" s="74"/>
      <c r="BQ43" s="4"/>
      <c r="BR43" s="4"/>
      <c r="BS43" s="4"/>
      <c r="BT43" s="74"/>
      <c r="BU43" s="74"/>
      <c r="BV43" s="74"/>
      <c r="BW43" s="74"/>
      <c r="BX43" s="74"/>
    </row>
    <row r="44" ht="18.75" customHeight="1" spans="1:76" x14ac:dyDescent="0.25">
      <c r="A44" s="5"/>
      <c r="B44" s="51" t="s">
        <v>621</v>
      </c>
      <c r="C44" s="64"/>
      <c r="D44" s="75" t="s">
        <v>622</v>
      </c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7"/>
      <c r="Q44" s="77"/>
      <c r="R44" s="77"/>
      <c r="S44" s="77"/>
      <c r="T44" s="78"/>
      <c r="U44" s="78"/>
      <c r="V44" s="77"/>
      <c r="W44" s="77"/>
      <c r="X44" s="77"/>
      <c r="Y44" s="77"/>
      <c r="Z44" s="77"/>
      <c r="AA44" s="77"/>
      <c r="AB44" s="77"/>
      <c r="AC44" s="79">
        <f>SUM(AC34:AC36)</f>
        <v>0</v>
      </c>
      <c r="AD44" s="79">
        <f t="shared" ref="AD44:BL44" si="0">SUM(AD34:AD36)</f>
        <v>0</v>
      </c>
      <c r="AE44" s="79">
        <f t="shared" si="0"/>
        <v>0</v>
      </c>
      <c r="AF44" s="79">
        <f t="shared" si="0"/>
        <v>0</v>
      </c>
      <c r="AG44" s="79">
        <f t="shared" si="0"/>
        <v>0</v>
      </c>
      <c r="AH44" s="79">
        <f t="shared" si="0"/>
        <v>0</v>
      </c>
      <c r="AI44" s="79">
        <f t="shared" si="0"/>
        <v>0</v>
      </c>
      <c r="AJ44" s="79">
        <f t="shared" si="0"/>
        <v>0</v>
      </c>
      <c r="AK44" s="79">
        <f t="shared" si="0"/>
        <v>0</v>
      </c>
      <c r="AL44" s="79">
        <f t="shared" si="0"/>
        <v>0</v>
      </c>
      <c r="AM44" s="79">
        <f t="shared" si="0"/>
        <v>0</v>
      </c>
      <c r="AN44" s="79">
        <f t="shared" si="0"/>
        <v>0</v>
      </c>
      <c r="AO44" s="79">
        <f t="shared" si="0"/>
        <v>0</v>
      </c>
      <c r="AP44" s="79">
        <f t="shared" si="0"/>
        <v>0</v>
      </c>
      <c r="AQ44" s="79">
        <f t="shared" si="0"/>
        <v>0</v>
      </c>
      <c r="AR44" s="79">
        <f t="shared" si="0"/>
        <v>0</v>
      </c>
      <c r="AS44" s="79">
        <f t="shared" si="0"/>
        <v>0</v>
      </c>
      <c r="AT44" s="79">
        <f t="shared" si="0"/>
        <v>0</v>
      </c>
      <c r="AU44" s="79">
        <f t="shared" si="0"/>
        <v>0</v>
      </c>
      <c r="AV44" s="79">
        <f t="shared" si="0"/>
        <v>0</v>
      </c>
      <c r="AW44" s="79">
        <f t="shared" si="0"/>
        <v>0</v>
      </c>
      <c r="AX44" s="79">
        <f t="shared" si="0"/>
        <v>0</v>
      </c>
      <c r="AY44" s="79">
        <f t="shared" si="0"/>
        <v>0</v>
      </c>
      <c r="AZ44" s="79">
        <f t="shared" si="0"/>
        <v>0</v>
      </c>
      <c r="BA44" s="79">
        <f t="shared" si="0"/>
        <v>0</v>
      </c>
      <c r="BB44" s="79">
        <f t="shared" si="0"/>
        <v>0</v>
      </c>
      <c r="BC44" s="79">
        <f t="shared" si="0"/>
        <v>0</v>
      </c>
      <c r="BD44" s="79">
        <f t="shared" si="0"/>
        <v>0</v>
      </c>
      <c r="BE44" s="80">
        <f>ROUND((IF($L$10+$L$11&gt;0,BD44/($L$10+$L$11),0)),4)</f>
        <v>0</v>
      </c>
      <c r="BF44" s="79">
        <f t="shared" si="0"/>
        <v>0</v>
      </c>
      <c r="BG44" s="79">
        <f t="shared" si="0"/>
        <v>0</v>
      </c>
      <c r="BH44" s="79">
        <f t="shared" si="0"/>
        <v>0</v>
      </c>
      <c r="BI44" s="80">
        <f>ROUND((IF($L$10+$L$11&gt;0,BG44/($L$10+$L$11),0)),4)</f>
        <v>0</v>
      </c>
      <c r="BJ44" s="79">
        <f t="shared" si="0"/>
        <v>0</v>
      </c>
      <c r="BK44" s="79">
        <f t="shared" si="0"/>
        <v>0</v>
      </c>
      <c r="BL44" s="79">
        <f t="shared" si="0"/>
        <v>0</v>
      </c>
      <c r="BM44" s="81"/>
      <c r="BO44" s="4"/>
      <c r="BP44" s="74"/>
      <c r="BQ44" s="4"/>
      <c r="BR44" s="4"/>
      <c r="BS44" s="4"/>
      <c r="BT44" s="74"/>
      <c r="BU44" s="74"/>
      <c r="BV44" s="74"/>
      <c r="BW44" s="74"/>
      <c r="BX44" s="74"/>
    </row>
    <row r="45" spans="1:76" x14ac:dyDescent="0.25">
      <c r="A45" s="5"/>
      <c r="B45" s="4"/>
      <c r="C45" s="4" t="s">
        <v>5</v>
      </c>
      <c r="D45" s="74"/>
      <c r="BO45" s="4"/>
      <c r="BP45" s="74"/>
      <c r="BQ45" s="4"/>
      <c r="BR45" s="4"/>
      <c r="BS45" s="4"/>
      <c r="BT45" s="74"/>
      <c r="BU45" s="74"/>
      <c r="BV45" s="74"/>
      <c r="BW45" s="74"/>
      <c r="BX45" s="74"/>
    </row>
    <row r="46" spans="1:76" x14ac:dyDescent="0.25">
      <c r="A46" s="4"/>
      <c r="B46" s="4"/>
      <c r="C46" s="4" t="s">
        <v>37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 t="s">
        <v>38</v>
      </c>
      <c r="BP46" s="74"/>
      <c r="BQ46" s="4"/>
      <c r="BR46" s="4"/>
      <c r="BS46" s="4"/>
      <c r="BT46" s="74"/>
      <c r="BU46" s="74"/>
      <c r="BV46" s="74"/>
      <c r="BW46" s="74"/>
      <c r="BX46" s="74"/>
    </row>
    <row r="48" ht="69.75" customHeight="1" spans="1:81" x14ac:dyDescent="0.25">
      <c r="A48" s="82"/>
      <c r="B48" s="82"/>
      <c r="C48" s="82"/>
      <c r="D48" s="83"/>
      <c r="E48" s="84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  <c r="AA48" s="85"/>
      <c r="AB48" s="85"/>
      <c r="AC48" s="85"/>
      <c r="AD48" s="85"/>
      <c r="AE48" s="85"/>
      <c r="AF48" s="85"/>
      <c r="AG48" s="85"/>
      <c r="AH48" s="85"/>
      <c r="AI48" s="85"/>
      <c r="AJ48" s="85"/>
      <c r="AK48" s="85"/>
      <c r="AL48" s="85"/>
      <c r="AM48" s="85"/>
      <c r="AN48" s="85"/>
      <c r="AO48" s="85"/>
      <c r="AP48" s="85"/>
      <c r="AQ48" s="85"/>
      <c r="AR48" s="85"/>
      <c r="AS48" s="85"/>
      <c r="AT48" s="85"/>
      <c r="AU48" s="85"/>
      <c r="AV48" s="85"/>
      <c r="AW48" s="85"/>
      <c r="AX48" s="85"/>
      <c r="AY48" s="85"/>
      <c r="AZ48" s="85"/>
      <c r="BA48" s="85"/>
      <c r="BB48" s="85"/>
      <c r="BC48" s="85"/>
      <c r="BD48" s="86"/>
      <c r="BG48" s="85"/>
      <c r="BH48" s="85"/>
      <c r="BI48" s="85"/>
      <c r="BJ48" s="85"/>
      <c r="BK48" s="87"/>
      <c r="BL48" s="88"/>
      <c r="BM48" s="88"/>
      <c r="BN48" s="82"/>
      <c r="BO48" s="82"/>
      <c r="BP48" s="82"/>
      <c r="BQ48" s="82"/>
      <c r="BR48" s="82"/>
      <c r="BS48" s="82"/>
      <c r="BT48" s="82"/>
      <c r="BU48" s="82"/>
      <c r="BV48" s="82"/>
      <c r="BW48" s="82"/>
      <c r="BX48" s="82"/>
      <c r="BY48" s="82"/>
      <c r="BZ48" s="82"/>
      <c r="CA48" s="82"/>
      <c r="CB48" s="82"/>
      <c r="CC48" s="82"/>
    </row>
    <row r="49" ht="18" customHeight="1" spans="1:81" x14ac:dyDescent="0.25">
      <c r="A49" s="82"/>
      <c r="B49" s="82"/>
      <c r="C49" s="82"/>
      <c r="D49" s="89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1"/>
      <c r="AC49" s="91"/>
      <c r="AD49" s="92"/>
      <c r="AE49" s="92"/>
      <c r="AF49" s="92"/>
      <c r="AG49" s="92"/>
      <c r="AH49" s="92"/>
      <c r="AI49" s="92"/>
      <c r="AJ49" s="92"/>
      <c r="AK49" s="92"/>
      <c r="AL49" s="92"/>
      <c r="AM49" s="92"/>
      <c r="AN49" s="92"/>
      <c r="AO49" s="92"/>
      <c r="AP49" s="92"/>
      <c r="AQ49" s="92"/>
      <c r="AR49" s="92"/>
      <c r="AS49" s="92"/>
      <c r="AT49" s="92"/>
      <c r="AU49" s="92"/>
      <c r="AV49" s="92"/>
      <c r="AW49" s="92"/>
      <c r="AX49" s="92"/>
      <c r="AY49" s="92"/>
      <c r="AZ49" s="92"/>
      <c r="BA49" s="92"/>
      <c r="BB49" s="92"/>
      <c r="BC49" s="92"/>
      <c r="BD49" s="88"/>
      <c r="BE49" s="88"/>
      <c r="BF49" s="88"/>
      <c r="BG49" s="92"/>
      <c r="BH49" s="92"/>
      <c r="BI49" s="92"/>
      <c r="BJ49" s="93"/>
      <c r="BK49" s="93"/>
      <c r="BN49" s="82"/>
      <c r="BO49" s="82"/>
      <c r="BP49" s="82"/>
      <c r="BQ49" s="82"/>
      <c r="BR49" s="82"/>
      <c r="BS49" s="82"/>
      <c r="BT49" s="82"/>
      <c r="BU49" s="82"/>
      <c r="BV49" s="82"/>
      <c r="BW49" s="82"/>
      <c r="BX49" s="82"/>
      <c r="BY49" s="82"/>
      <c r="BZ49" s="82"/>
      <c r="CA49" s="82"/>
      <c r="CB49" s="82"/>
      <c r="CC49" s="82"/>
    </row>
  </sheetData>
  <mergeCells count="71">
    <mergeCell ref="D1:L2"/>
    <mergeCell ref="F8:K8"/>
    <mergeCell ref="F10:K10"/>
    <mergeCell ref="F11:K11"/>
    <mergeCell ref="F12:L12"/>
    <mergeCell ref="D29:AD29"/>
    <mergeCell ref="AE29:BM29"/>
    <mergeCell ref="AE30:AM30"/>
    <mergeCell ref="AR30:AX30"/>
    <mergeCell ref="D30:D32"/>
    <mergeCell ref="E30:E32"/>
    <mergeCell ref="F30:F32"/>
    <mergeCell ref="G30:G32"/>
    <mergeCell ref="H30:H32"/>
    <mergeCell ref="I30:I32"/>
    <mergeCell ref="J30:J32"/>
    <mergeCell ref="K30:K32"/>
    <mergeCell ref="L30:L32"/>
    <mergeCell ref="M30:M32"/>
    <mergeCell ref="N30:N32"/>
    <mergeCell ref="O30:O32"/>
    <mergeCell ref="P30:P32"/>
    <mergeCell ref="Q30:Q32"/>
    <mergeCell ref="R30:R32"/>
    <mergeCell ref="S30:S32"/>
    <mergeCell ref="T30:T32"/>
    <mergeCell ref="U30:U32"/>
    <mergeCell ref="V30:V32"/>
    <mergeCell ref="W30:W32"/>
    <mergeCell ref="X30:X32"/>
    <mergeCell ref="Y30:Y32"/>
    <mergeCell ref="Z30:Z32"/>
    <mergeCell ref="AA30:AA32"/>
    <mergeCell ref="AB30:AB32"/>
    <mergeCell ref="AC30:AC32"/>
    <mergeCell ref="AD30:AD32"/>
    <mergeCell ref="AN30:AN32"/>
    <mergeCell ref="AO30:AO32"/>
    <mergeCell ref="AP30:AP32"/>
    <mergeCell ref="AQ30:AQ32"/>
    <mergeCell ref="AY30:AY32"/>
    <mergeCell ref="AZ30:AZ32"/>
    <mergeCell ref="BA30:BA32"/>
    <mergeCell ref="BB30:BB32"/>
    <mergeCell ref="BC30:BC32"/>
    <mergeCell ref="BD30:BD32"/>
    <mergeCell ref="BE30:BE32"/>
    <mergeCell ref="BF30:BF32"/>
    <mergeCell ref="BG30:BG32"/>
    <mergeCell ref="BH30:BH32"/>
    <mergeCell ref="BI30:BI32"/>
    <mergeCell ref="BJ30:BJ32"/>
    <mergeCell ref="BK30:BK32"/>
    <mergeCell ref="BL30:BL32"/>
    <mergeCell ref="BM30:BM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R31:AR32"/>
    <mergeCell ref="AS31:AS32"/>
    <mergeCell ref="AT31:AT32"/>
    <mergeCell ref="AU31:AU32"/>
    <mergeCell ref="AV31:AV32"/>
    <mergeCell ref="AW31:AW32"/>
    <mergeCell ref="AX31:AX32"/>
  </mergeCells>
  <dataValidations count="20">
    <dataValidation type="decimal" allowBlank="1" showInputMessage="1" showErrorMessage="1" errorTitle="Input Error" error="Please enter a numeric value between 0 and 99999999999999999" sqref="AC35">
      <formula1>0</formula1>
      <formula2>99999999999999900</formula2>
    </dataValidation>
    <dataValidation type="decimal" allowBlank="1" showInputMessage="1" showErrorMessage="1" errorTitle="Errror" error=" Please enter a numeric value between 0 and 99999999999999999 " sqref="AD35">
      <formula1>0</formula1>
      <formula2>99999999999999900</formula2>
    </dataValidation>
    <dataValidation type="decimal" allowBlank="1" showInputMessage="1" showErrorMessage="1" errorTitle="Error" error=" Please enter a numeric value between 0 and 99999999999999999 " sqref="AE35:AF35">
      <formula1>0</formula1>
      <formula2>99999999999999900</formula2>
    </dataValidation>
    <dataValidation type="decimal" allowBlank="1" showInputMessage="1" showErrorMessage="1" errorTitle="Error" error="Please enter a numeric value between 0 and 99999999999999999 " sqref="AG35:AI35">
      <formula1>0</formula1>
      <formula2>99999999999999900</formula2>
    </dataValidation>
    <dataValidation type="decimal" allowBlank="1" showInputMessage="1" showErrorMessage="1" errorTitle="Error" error=" Please enter a numeric value between 0 and 99999999999999999 " sqref="AJ35:AK35">
      <formula1>0</formula1>
      <formula2>99999999999999900</formula2>
    </dataValidation>
    <dataValidation type="decimal" allowBlank="1" showInputMessage="1" showErrorMessage="1" errorTitle="Error" error=" Please enter a numeric value between 0 and 99999999999999999" sqref="AL35">
      <formula1>0</formula1>
      <formula2>99999999999999900</formula2>
    </dataValidation>
    <dataValidation type="decimal" allowBlank="1" showInputMessage="1" showErrorMessage="1" errorTitle="Error" error=" Please enter a numeric value between 0 and 99999999999999999 " sqref="AN35:AO35">
      <formula1>0</formula1>
      <formula2>99999999999999900</formula2>
    </dataValidation>
    <dataValidation type="decimal" allowBlank="1" showInputMessage="1" showErrorMessage="1" errorTitle="Error" error="Please enter a numeric value between 0 and 99999999999999999 " sqref="AP35:AQ35">
      <formula1>0</formula1>
      <formula2>99999999999999900</formula2>
    </dataValidation>
    <dataValidation type="decimal" allowBlank="1" showInputMessage="1" showErrorMessage="1" errorTitle="Errror" error=" Please enter a numeric value between 0 and 99999999999999999 " sqref="AR35">
      <formula1>0</formula1>
      <formula2>99999999999999900</formula2>
    </dataValidation>
    <dataValidation type="decimal" allowBlank="1" showInputMessage="1" showErrorMessage="1" errorTitle="Error" error="Please enter a numeric value between 0 and 99999999999999999 " sqref="AS35">
      <formula1>0</formula1>
      <formula2>99999999999999900</formula2>
    </dataValidation>
    <dataValidation type="decimal" allowBlank="1" showInputMessage="1" showErrorMessage="1" errorTitle="Error" error=" Please enter a numeric value between 0 and 99999999999999999 " sqref="AT35">
      <formula1>0</formula1>
      <formula2>99999999999999900</formula2>
    </dataValidation>
    <dataValidation type="decimal" allowBlank="1" showInputMessage="1" showErrorMessage="1" errorTitle="Error" error="Please enter a numeric value between 0 and 99999999999999999 " sqref="AU35:AW35">
      <formula1>0</formula1>
      <formula2>99999999999999900</formula2>
    </dataValidation>
    <dataValidation type="decimal" allowBlank="1" showInputMessage="1" showErrorMessage="1" errorTitle="Error" error="Please enter a numeric value between 0 and 99999999999999999 " sqref="AY35">
      <formula1>0</formula1>
      <formula2>99999999999999900</formula2>
    </dataValidation>
    <dataValidation type="decimal" allowBlank="1" showInputMessage="1" showErrorMessage="1" errorTitle="Error" error=" Please enter a numeric value between 0 and 99999999999999999 " sqref="AZ35">
      <formula1>0</formula1>
      <formula2>99999999999999900</formula2>
    </dataValidation>
    <dataValidation type="decimal" allowBlank="1" showInputMessage="1" showErrorMessage="1" errorTitle="Error" error="Please enter a numeric value between 0 and 99999999999999999 " sqref="BC35">
      <formula1>0</formula1>
      <formula2>99999999999999900</formula2>
    </dataValidation>
    <dataValidation type="decimal" allowBlank="1" showInputMessage="1" showErrorMessage="1" errorTitle="Error" error="Please enter a numeric value between 0 and 99999999999999999 " sqref="BF35">
      <formula1>0</formula1>
      <formula2>99999999999999900</formula2>
    </dataValidation>
    <dataValidation type="decimal" allowBlank="1" showInputMessage="1" showErrorMessage="1" errorTitle="Error" error="Please enter a numeric value between 0 and 99999999999999999 " sqref="BH35">
      <formula1>0</formula1>
      <formula2>99999999999999900</formula2>
    </dataValidation>
    <dataValidation type="decimal" allowBlank="1" showInputMessage="1" showErrorMessage="1" errorTitle="Error" error=" Please enter a numeric value between 0 and 99999999999999999 " sqref="BJ35:BL35">
      <formula1>0</formula1>
      <formula2>99999999999999900</formula2>
    </dataValidation>
    <dataValidation type="decimal" allowBlank="1" showInputMessage="1" showErrorMessage="1" errorTitle="Error" error="  Please enter a numeric value between -999999999.99 and 999999999.99" sqref="L10">
      <formula1>-999999999.99</formula1>
      <formula2>999999999.99</formula2>
    </dataValidation>
    <dataValidation type="decimal" allowBlank="1" showInputMessage="1" showErrorMessage="1" errorTitle="Error" error="Please enter a numeric value between 0 and 99999999999999999 " sqref="L11">
      <formula1>0</formula1>
      <formula2>99999999999999900</formula2>
    </dataValidation>
  </dataValidations>
  <pageMargins left="0.75" right="0.75" top="1" bottom="1" header="0.5" footer="0.5"/>
  <pageSetup orientation="portrait" horizontalDpi="200" verticalDpi="200" scale="100" fitToWidth="1" fitToHeight="1" firstPageNumber="1" useFirstPageNumber="1" copies="1"/>
  <legacy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3"/>
  <sheetViews>
    <sheetView workbookViewId="0" zoomScale="85" zoomScaleNormal="100">
      <pane xSplit="3" ySplit="1" topLeftCell="D2" activePane="bottomRight" state="frozen"/>
      <selection pane="bottomRight" activeCell="D19" sqref="D19"/>
    </sheetView>
  </sheetViews>
  <sheetFormatPr defaultRowHeight="15" outlineLevelRow="0" outlineLevelCol="0" x14ac:dyDescent="0"/>
  <cols>
    <col min="1" max="3" width="9.28515625" hidden="1" customWidth="1"/>
    <col min="4" max="4" width="9.5703125" customWidth="1"/>
    <col min="5" max="5" width="33.28515625" customWidth="1"/>
    <col min="6" max="6" width="29.28515625" customWidth="1"/>
    <col min="7" max="7" width="24.7109375" customWidth="1"/>
    <col min="8" max="8" width="28.28515625" customWidth="1"/>
    <col min="9" max="9" width="24.7109375" customWidth="1"/>
    <col min="10" max="10" width="33.28515625" customWidth="1"/>
    <col min="11" max="11" width="28.28515625" customWidth="1"/>
    <col min="12" max="12" width="35.7109375" customWidth="1"/>
    <col min="13" max="13" width="28.42578125" customWidth="1"/>
  </cols>
  <sheetData>
    <row r="1" ht="26.25" customHeight="1" spans="1:11" x14ac:dyDescent="0.25">
      <c r="A1" s="1" t="s">
        <v>412</v>
      </c>
      <c r="D1" s="94" t="s">
        <v>623</v>
      </c>
      <c r="E1" s="95"/>
      <c r="F1" s="95"/>
      <c r="G1" s="95"/>
      <c r="H1" s="95"/>
      <c r="I1" s="95"/>
      <c r="J1" s="95"/>
      <c r="K1" s="96"/>
    </row>
    <row r="2" ht="26.25" customHeight="1" spans="4:11" x14ac:dyDescent="0.25">
      <c r="D2" s="97"/>
      <c r="E2" s="3"/>
      <c r="F2" s="3"/>
      <c r="G2" s="3"/>
      <c r="H2" s="3"/>
      <c r="I2" s="3"/>
      <c r="J2" s="3"/>
      <c r="K2" s="98"/>
    </row>
    <row r="4" spans="1:11" x14ac:dyDescent="0.25">
      <c r="A4" s="52"/>
      <c r="B4" s="52"/>
      <c r="C4" s="52"/>
      <c r="D4" s="52"/>
      <c r="E4" s="52"/>
      <c r="F4" s="52"/>
      <c r="G4" s="52"/>
      <c r="H4" s="52"/>
      <c r="I4" s="52"/>
      <c r="J4" s="52"/>
      <c r="K4" s="52"/>
    </row>
    <row r="5" spans="1:11" x14ac:dyDescent="0.25">
      <c r="A5" s="52"/>
      <c r="B5" s="52"/>
      <c r="C5" s="52"/>
      <c r="D5" s="52"/>
      <c r="E5" s="52"/>
      <c r="F5" s="52"/>
      <c r="G5" s="52"/>
      <c r="H5" s="52"/>
      <c r="I5" s="52"/>
      <c r="J5" s="52"/>
      <c r="K5" s="52"/>
    </row>
    <row r="6" spans="1:11" x14ac:dyDescent="0.25">
      <c r="A6" s="52"/>
      <c r="B6" s="52"/>
      <c r="C6" s="52"/>
      <c r="D6" s="52"/>
      <c r="E6" s="52"/>
      <c r="F6" s="52"/>
      <c r="G6" s="52"/>
      <c r="H6" s="52"/>
      <c r="I6" s="52"/>
      <c r="J6" s="52"/>
      <c r="K6" s="52"/>
    </row>
    <row r="7" spans="1:11" x14ac:dyDescent="0.25">
      <c r="A7" s="52"/>
      <c r="B7" s="52"/>
      <c r="C7" s="52"/>
      <c r="D7" s="52"/>
      <c r="E7" s="52"/>
      <c r="F7" s="52"/>
      <c r="G7" s="52"/>
      <c r="H7" s="52"/>
      <c r="I7" s="52"/>
      <c r="J7" s="52"/>
      <c r="K7" s="52"/>
    </row>
    <row r="8" spans="1:11" x14ac:dyDescent="0.25">
      <c r="A8" s="52"/>
      <c r="B8" s="52"/>
      <c r="C8" s="52"/>
      <c r="D8" s="52"/>
      <c r="E8" s="52"/>
      <c r="F8" s="52"/>
      <c r="G8" s="52"/>
      <c r="H8" s="52"/>
      <c r="I8" s="52"/>
      <c r="J8" s="52"/>
      <c r="K8" s="52"/>
    </row>
    <row r="9" spans="1:11" x14ac:dyDescent="0.25">
      <c r="A9" s="52"/>
      <c r="B9" s="52"/>
      <c r="C9" s="52"/>
      <c r="D9" s="52"/>
      <c r="E9" s="52"/>
      <c r="F9" s="52"/>
      <c r="G9" s="52"/>
      <c r="H9" s="52"/>
      <c r="I9" s="52"/>
      <c r="J9" s="52"/>
      <c r="K9" s="52"/>
    </row>
    <row r="10" spans="1:11" x14ac:dyDescent="0.25">
      <c r="A10" s="52"/>
      <c r="B10" s="52"/>
      <c r="C10" s="52"/>
      <c r="D10" s="52"/>
      <c r="E10" s="52"/>
      <c r="F10" s="52"/>
      <c r="G10" s="52"/>
      <c r="H10" s="52"/>
      <c r="I10" s="52"/>
      <c r="J10" s="52"/>
      <c r="K10" s="52"/>
    </row>
    <row r="11" spans="1:11" x14ac:dyDescent="0.25">
      <c r="A11" s="52"/>
      <c r="B11" s="52"/>
      <c r="C11" s="52"/>
      <c r="D11" s="52"/>
      <c r="E11" s="52"/>
      <c r="F11" s="52"/>
      <c r="G11" s="52"/>
      <c r="H11" s="52"/>
      <c r="I11" s="52"/>
      <c r="J11" s="52"/>
      <c r="K11" s="52"/>
    </row>
    <row r="12" spans="1:11" x14ac:dyDescent="0.25">
      <c r="A12" s="52"/>
      <c r="B12" s="52"/>
      <c r="C12" s="52"/>
      <c r="D12" s="52"/>
      <c r="E12" s="52"/>
      <c r="F12" s="52"/>
      <c r="G12" s="52"/>
      <c r="H12" s="52"/>
      <c r="I12" s="52"/>
      <c r="J12" s="52"/>
      <c r="K12" s="52"/>
    </row>
    <row r="13" spans="1:11" x14ac:dyDescent="0.25">
      <c r="A13" s="52"/>
      <c r="B13" s="52"/>
      <c r="C13" s="52"/>
      <c r="D13" s="52"/>
      <c r="E13" s="52"/>
      <c r="F13" s="52"/>
      <c r="G13" s="52"/>
      <c r="H13" s="52"/>
      <c r="I13" s="52"/>
      <c r="J13" s="52"/>
      <c r="K13" s="52"/>
    </row>
    <row r="17" spans="1:27" x14ac:dyDescent="0.25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2"/>
      <c r="S17" s="52"/>
      <c r="T17" s="52"/>
      <c r="U17" s="52"/>
      <c r="V17" s="52"/>
      <c r="W17" s="52"/>
      <c r="X17" s="52"/>
      <c r="Y17" s="52"/>
      <c r="Z17" s="52"/>
      <c r="AA17" s="52"/>
    </row>
    <row r="18" spans="1:27" x14ac:dyDescent="0.25">
      <c r="A18" s="53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4"/>
      <c r="P18" s="51"/>
      <c r="Q18" s="51"/>
      <c r="R18" s="52"/>
      <c r="S18" s="52"/>
      <c r="T18" s="52"/>
      <c r="U18" s="52"/>
      <c r="V18" s="52"/>
      <c r="W18" s="52"/>
      <c r="X18" s="52"/>
      <c r="Y18" s="52"/>
      <c r="Z18" s="52"/>
      <c r="AA18" s="52"/>
    </row>
    <row r="19" spans="1:27" x14ac:dyDescent="0.25">
      <c r="A19" s="53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2"/>
      <c r="S19" s="52"/>
      <c r="T19" s="52"/>
      <c r="U19" s="52"/>
      <c r="V19" s="52"/>
      <c r="W19" s="52"/>
      <c r="X19" s="52"/>
      <c r="Y19" s="52"/>
      <c r="Z19" s="52"/>
      <c r="AA19" s="52"/>
    </row>
    <row r="20" spans="1:27" x14ac:dyDescent="0.25">
      <c r="A20" s="53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2"/>
      <c r="S20" s="52"/>
      <c r="T20" s="52"/>
      <c r="U20" s="52"/>
      <c r="V20" s="52"/>
      <c r="W20" s="52"/>
      <c r="X20" s="52"/>
      <c r="Y20" s="52"/>
      <c r="Z20" s="52"/>
      <c r="AA20" s="52"/>
    </row>
    <row r="21" ht="30" customHeight="1" spans="1:27" x14ac:dyDescent="0.25">
      <c r="A21" s="53"/>
      <c r="B21" s="51"/>
      <c r="C21" s="51" t="s">
        <v>4</v>
      </c>
      <c r="D21" s="99" t="s">
        <v>624</v>
      </c>
      <c r="E21" s="99"/>
      <c r="F21" s="99"/>
      <c r="G21" s="99"/>
      <c r="H21" s="99"/>
      <c r="I21" s="99"/>
      <c r="J21" s="99"/>
      <c r="K21" s="100"/>
      <c r="L21" s="101"/>
      <c r="M21" s="102" t="s">
        <v>493</v>
      </c>
      <c r="N21" s="52"/>
      <c r="O21" s="51"/>
      <c r="P21" s="51"/>
      <c r="Q21" s="51"/>
      <c r="R21" s="52"/>
      <c r="S21" s="52"/>
      <c r="T21" s="52"/>
      <c r="U21" s="52"/>
      <c r="V21" s="52"/>
      <c r="W21" s="52"/>
      <c r="X21" s="52"/>
      <c r="Y21" s="52"/>
      <c r="Z21" s="52"/>
      <c r="AA21" s="52"/>
    </row>
    <row r="22" spans="1:27" x14ac:dyDescent="0.25">
      <c r="A22" s="53"/>
      <c r="B22" s="51"/>
      <c r="C22" s="51" t="s">
        <v>4</v>
      </c>
      <c r="D22" s="59" t="s">
        <v>494</v>
      </c>
      <c r="E22" s="59" t="s">
        <v>495</v>
      </c>
      <c r="F22" s="59" t="s">
        <v>496</v>
      </c>
      <c r="G22" s="59" t="s">
        <v>499</v>
      </c>
      <c r="H22" s="59" t="s">
        <v>500</v>
      </c>
      <c r="I22" s="59" t="s">
        <v>501</v>
      </c>
      <c r="J22" s="60" t="s">
        <v>502</v>
      </c>
      <c r="K22" s="103" t="s">
        <v>511</v>
      </c>
      <c r="L22" s="59" t="s">
        <v>540</v>
      </c>
      <c r="M22" s="59" t="s">
        <v>541</v>
      </c>
      <c r="N22" s="52"/>
      <c r="O22" s="51"/>
      <c r="P22" s="51"/>
      <c r="Q22" s="51"/>
      <c r="R22" s="52"/>
      <c r="S22" s="52"/>
      <c r="T22" s="52"/>
      <c r="U22" s="52"/>
      <c r="V22" s="52"/>
      <c r="W22" s="52"/>
      <c r="X22" s="52"/>
      <c r="Y22" s="52"/>
      <c r="Z22" s="52"/>
      <c r="AA22" s="52"/>
    </row>
    <row r="23" spans="1:27" x14ac:dyDescent="0.25">
      <c r="A23" s="53"/>
      <c r="B23" s="51"/>
      <c r="C23" s="51" t="s">
        <v>4</v>
      </c>
      <c r="D23" s="59"/>
      <c r="E23" s="59"/>
      <c r="F23" s="59"/>
      <c r="G23" s="59"/>
      <c r="H23" s="59"/>
      <c r="I23" s="59"/>
      <c r="J23" s="60"/>
      <c r="K23" s="103"/>
      <c r="L23" s="59"/>
      <c r="M23" s="59"/>
      <c r="N23" s="52"/>
      <c r="O23" s="51"/>
      <c r="P23" s="51"/>
      <c r="Q23" s="51"/>
      <c r="R23" s="52"/>
      <c r="S23" s="52"/>
      <c r="T23" s="52"/>
      <c r="U23" s="52"/>
      <c r="V23" s="52"/>
      <c r="W23" s="52"/>
      <c r="X23" s="52"/>
      <c r="Y23" s="52"/>
      <c r="Z23" s="52"/>
      <c r="AA23" s="52"/>
    </row>
    <row r="24" ht="83.25" customHeight="1" spans="1:27" x14ac:dyDescent="0.25">
      <c r="A24" s="53"/>
      <c r="B24" s="51"/>
      <c r="C24" s="51" t="s">
        <v>4</v>
      </c>
      <c r="D24" s="59"/>
      <c r="E24" s="59"/>
      <c r="F24" s="59"/>
      <c r="G24" s="59"/>
      <c r="H24" s="59"/>
      <c r="I24" s="59"/>
      <c r="J24" s="60"/>
      <c r="K24" s="103"/>
      <c r="L24" s="59"/>
      <c r="M24" s="59"/>
      <c r="N24" s="52"/>
      <c r="O24" s="51"/>
      <c r="P24" s="51"/>
      <c r="Q24" s="51"/>
      <c r="R24" s="52"/>
      <c r="S24" s="52"/>
      <c r="T24" s="52"/>
      <c r="U24" s="52"/>
      <c r="V24" s="52"/>
      <c r="W24" s="52"/>
      <c r="X24" s="52"/>
      <c r="Y24" s="52"/>
      <c r="Z24" s="52"/>
      <c r="AA24" s="52"/>
    </row>
    <row r="25" ht="18.75" customHeight="1" spans="1:27" x14ac:dyDescent="0.25">
      <c r="A25" s="53"/>
      <c r="B25" s="51"/>
      <c r="C25" s="51" t="s">
        <v>4</v>
      </c>
      <c r="D25" s="59" t="s">
        <v>558</v>
      </c>
      <c r="E25" s="59" t="s">
        <v>559</v>
      </c>
      <c r="F25" s="59" t="s">
        <v>560</v>
      </c>
      <c r="G25" s="59" t="s">
        <v>561</v>
      </c>
      <c r="H25" s="60" t="s">
        <v>562</v>
      </c>
      <c r="I25" s="59" t="s">
        <v>563</v>
      </c>
      <c r="J25" s="59" t="s">
        <v>564</v>
      </c>
      <c r="K25" s="59" t="s">
        <v>565</v>
      </c>
      <c r="L25" s="59" t="s">
        <v>566</v>
      </c>
      <c r="M25" s="59" t="s">
        <v>567</v>
      </c>
      <c r="N25" s="52"/>
      <c r="O25" s="51"/>
      <c r="P25" s="51"/>
      <c r="Q25" s="51"/>
      <c r="R25" s="52"/>
      <c r="S25" s="52"/>
      <c r="T25" s="52"/>
      <c r="U25" s="52"/>
      <c r="V25" s="52"/>
      <c r="W25" s="52"/>
      <c r="X25" s="52"/>
      <c r="Y25" s="52"/>
      <c r="Z25" s="52"/>
      <c r="AA25" s="52"/>
    </row>
    <row r="26" spans="1:27" x14ac:dyDescent="0.25">
      <c r="A26" s="5"/>
      <c r="B26" s="4" t="s">
        <v>625</v>
      </c>
      <c r="C26" s="64"/>
      <c r="D26" s="65"/>
      <c r="E26" s="65"/>
      <c r="F26" s="65"/>
      <c r="G26" s="65"/>
      <c r="H26" s="65"/>
      <c r="I26" s="104"/>
      <c r="J26" s="65"/>
      <c r="K26" s="68"/>
      <c r="L26" s="71"/>
      <c r="M26" s="70"/>
      <c r="N26" s="74"/>
      <c r="O26" s="4"/>
      <c r="P26" s="4"/>
      <c r="Q26" s="4"/>
      <c r="R26" s="74"/>
      <c r="S26" s="74"/>
      <c r="T26" s="74"/>
      <c r="U26" s="74"/>
      <c r="V26" s="74"/>
      <c r="W26" s="74"/>
      <c r="X26" s="74"/>
      <c r="Y26" s="74"/>
      <c r="Z26" s="74"/>
      <c r="AA26" s="74"/>
    </row>
    <row r="27" spans="1:27" x14ac:dyDescent="0.25">
      <c r="A27" s="53"/>
      <c r="B27" s="51"/>
      <c r="C27" s="51" t="s">
        <v>5</v>
      </c>
      <c r="D27" s="105"/>
      <c r="E27" s="105"/>
      <c r="F27" s="105"/>
      <c r="G27" s="105"/>
      <c r="H27" s="105"/>
      <c r="I27" s="105"/>
      <c r="J27" s="105"/>
      <c r="K27" s="105"/>
      <c r="L27" s="105"/>
      <c r="M27" s="105"/>
      <c r="N27" s="52"/>
      <c r="O27" s="51"/>
      <c r="P27" s="51"/>
      <c r="Q27" s="51"/>
      <c r="R27" s="52"/>
      <c r="S27" s="52"/>
      <c r="T27" s="52"/>
      <c r="U27" s="52"/>
      <c r="V27" s="52"/>
      <c r="W27" s="52"/>
      <c r="X27" s="52"/>
      <c r="Y27" s="52"/>
      <c r="Z27" s="52"/>
      <c r="AA27" s="52"/>
    </row>
    <row r="28" spans="1:27" x14ac:dyDescent="0.25">
      <c r="A28" s="53"/>
      <c r="B28" s="51"/>
      <c r="C28" s="51" t="s">
        <v>37</v>
      </c>
      <c r="D28" s="106"/>
      <c r="E28" s="106"/>
      <c r="F28" s="106"/>
      <c r="G28" s="106"/>
      <c r="H28" s="106"/>
      <c r="I28" s="106"/>
      <c r="J28" s="106"/>
      <c r="K28" s="106"/>
      <c r="L28" s="106"/>
      <c r="M28" s="106"/>
      <c r="N28" s="51"/>
      <c r="O28" s="51" t="s">
        <v>38</v>
      </c>
      <c r="P28" s="51"/>
      <c r="Q28" s="51"/>
      <c r="R28" s="52"/>
      <c r="S28" s="52"/>
      <c r="T28" s="52"/>
      <c r="U28" s="52"/>
      <c r="V28" s="52"/>
      <c r="W28" s="52"/>
      <c r="X28" s="52"/>
      <c r="Y28" s="52"/>
      <c r="Z28" s="52"/>
      <c r="AA28" s="52"/>
    </row>
    <row r="29" spans="4:13" x14ac:dyDescent="0.25">
      <c r="D29" s="107"/>
      <c r="E29" s="107"/>
      <c r="F29" s="107"/>
      <c r="G29" s="107"/>
      <c r="H29" s="107"/>
      <c r="I29" s="107"/>
      <c r="J29" s="107"/>
      <c r="K29" s="107"/>
      <c r="L29" s="107"/>
      <c r="M29" s="107"/>
    </row>
    <row r="30" spans="1:22" x14ac:dyDescent="0.25">
      <c r="A30" s="5"/>
      <c r="B30" s="4"/>
      <c r="C30" s="4" t="s">
        <v>620</v>
      </c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4"/>
      <c r="O30" s="4"/>
      <c r="P30" s="4"/>
      <c r="Q30" s="4"/>
      <c r="R30" s="74"/>
      <c r="S30" s="74"/>
      <c r="T30" s="74"/>
      <c r="U30" s="74"/>
      <c r="V30" s="74"/>
    </row>
    <row r="31" spans="1:22" x14ac:dyDescent="0.25">
      <c r="A31" s="5"/>
      <c r="B31" s="4"/>
      <c r="C31" s="4"/>
      <c r="D31" s="108"/>
      <c r="E31" s="108"/>
      <c r="F31" s="108"/>
      <c r="G31" s="108"/>
      <c r="H31" s="108"/>
      <c r="I31" s="108"/>
      <c r="J31" s="108"/>
      <c r="K31" s="108"/>
      <c r="L31" s="106" t="s">
        <v>481</v>
      </c>
      <c r="M31" s="106" t="s">
        <v>482</v>
      </c>
      <c r="N31" s="4"/>
      <c r="O31" s="4"/>
      <c r="P31" s="4"/>
      <c r="Q31" s="4"/>
      <c r="R31" s="74"/>
      <c r="S31" s="74"/>
      <c r="T31" s="74"/>
      <c r="U31" s="74"/>
      <c r="V31" s="74"/>
    </row>
    <row r="32" spans="1:22" x14ac:dyDescent="0.25">
      <c r="A32" s="5"/>
      <c r="B32" s="4"/>
      <c r="C32" s="4"/>
      <c r="D32" s="108"/>
      <c r="E32" s="108"/>
      <c r="F32" s="108"/>
      <c r="G32" s="108"/>
      <c r="H32" s="108"/>
      <c r="I32" s="108"/>
      <c r="J32" s="108"/>
      <c r="K32" s="108"/>
      <c r="L32" s="108"/>
      <c r="M32" s="108"/>
      <c r="N32" s="4"/>
      <c r="O32" s="4"/>
      <c r="P32" s="4"/>
      <c r="Q32" s="4"/>
      <c r="R32" s="74"/>
      <c r="S32" s="74"/>
      <c r="T32" s="74"/>
      <c r="U32" s="74"/>
      <c r="V32" s="74"/>
    </row>
    <row r="33" spans="1:22" x14ac:dyDescent="0.25">
      <c r="A33" s="5"/>
      <c r="B33" s="4"/>
      <c r="C33" s="4" t="s">
        <v>3</v>
      </c>
      <c r="D33" s="108" t="s">
        <v>4</v>
      </c>
      <c r="E33" s="108" t="s">
        <v>4</v>
      </c>
      <c r="F33" s="108" t="s">
        <v>4</v>
      </c>
      <c r="G33" s="108" t="s">
        <v>4</v>
      </c>
      <c r="H33" s="108" t="s">
        <v>4</v>
      </c>
      <c r="I33" s="108" t="s">
        <v>4</v>
      </c>
      <c r="J33" s="108" t="s">
        <v>4</v>
      </c>
      <c r="K33" s="108"/>
      <c r="L33" s="108"/>
      <c r="M33" s="108"/>
      <c r="N33" s="4" t="s">
        <v>5</v>
      </c>
      <c r="O33" s="4" t="s">
        <v>6</v>
      </c>
      <c r="P33" s="4"/>
      <c r="Q33" s="4"/>
      <c r="R33" s="74"/>
      <c r="S33" s="74"/>
      <c r="T33" s="74"/>
      <c r="U33" s="74"/>
      <c r="V33" s="74"/>
    </row>
    <row r="34" spans="1:22" x14ac:dyDescent="0.25">
      <c r="A34" s="5"/>
      <c r="B34" s="4"/>
      <c r="C34" s="4" t="s">
        <v>5</v>
      </c>
      <c r="D34" s="109"/>
      <c r="E34" s="107"/>
      <c r="F34" s="107"/>
      <c r="G34" s="107"/>
      <c r="H34" s="107"/>
      <c r="I34" s="107"/>
      <c r="J34" s="107"/>
      <c r="K34" s="107"/>
      <c r="L34" s="107"/>
      <c r="M34" s="107"/>
      <c r="O34" s="4"/>
      <c r="P34" s="4"/>
      <c r="Q34" s="4"/>
      <c r="R34" s="74"/>
      <c r="S34" s="74"/>
      <c r="T34" s="74"/>
      <c r="U34" s="74"/>
      <c r="V34" s="74"/>
    </row>
    <row r="35" ht="18.75" customHeight="1" spans="1:22" x14ac:dyDescent="0.25">
      <c r="A35" s="5"/>
      <c r="B35" s="51" t="s">
        <v>625</v>
      </c>
      <c r="C35" s="64"/>
      <c r="D35" s="110" t="s">
        <v>622</v>
      </c>
      <c r="F35" s="110"/>
      <c r="G35" s="110"/>
      <c r="H35" s="110"/>
      <c r="I35" s="110"/>
      <c r="J35" s="110"/>
      <c r="K35" s="110"/>
      <c r="L35" s="79">
        <f>SUM(L26:L27)</f>
        <v>0</v>
      </c>
      <c r="M35" s="81"/>
      <c r="O35" s="4"/>
      <c r="P35" s="4"/>
      <c r="Q35" s="4"/>
      <c r="R35" s="74"/>
      <c r="S35" s="74"/>
      <c r="T35" s="74"/>
      <c r="U35" s="74"/>
      <c r="V35" s="74"/>
    </row>
    <row r="36" spans="1:22" x14ac:dyDescent="0.25">
      <c r="A36" s="5"/>
      <c r="B36" s="4"/>
      <c r="C36" s="4" t="s">
        <v>5</v>
      </c>
      <c r="D36" s="74"/>
      <c r="O36" s="4"/>
      <c r="P36" s="4"/>
      <c r="Q36" s="4"/>
      <c r="R36" s="74"/>
      <c r="S36" s="74"/>
      <c r="T36" s="74"/>
      <c r="U36" s="74"/>
      <c r="V36" s="74"/>
    </row>
    <row r="37" spans="1:22" x14ac:dyDescent="0.25">
      <c r="A37" s="111"/>
      <c r="B37" s="4"/>
      <c r="C37" s="4" t="s">
        <v>37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 t="s">
        <v>38</v>
      </c>
      <c r="P37" s="4"/>
      <c r="Q37" s="4"/>
      <c r="R37" s="74"/>
      <c r="S37" s="74"/>
      <c r="T37" s="74"/>
      <c r="U37" s="74"/>
      <c r="V37" s="74"/>
    </row>
    <row r="39" ht="15.75" customHeight="1" spans="1:22" x14ac:dyDescent="0.25">
      <c r="A39" s="82"/>
      <c r="B39" s="82"/>
      <c r="C39" s="82"/>
      <c r="D39" s="112"/>
      <c r="E39" s="112"/>
      <c r="F39" s="91"/>
      <c r="G39" s="91"/>
      <c r="H39" s="91"/>
      <c r="I39" s="91"/>
      <c r="J39" s="91"/>
      <c r="K39" s="91"/>
      <c r="L39" s="91"/>
      <c r="M39" s="91"/>
      <c r="N39" s="93"/>
      <c r="O39" s="93"/>
      <c r="P39" s="82"/>
      <c r="Q39" s="82"/>
      <c r="R39" s="82"/>
      <c r="S39" s="82"/>
      <c r="T39" s="82"/>
      <c r="U39" s="82"/>
      <c r="V39" s="82"/>
    </row>
    <row r="40" ht="15.75" customHeight="1" spans="1:22" x14ac:dyDescent="0.25">
      <c r="A40" s="82"/>
      <c r="B40" s="82"/>
      <c r="C40" s="82"/>
      <c r="D40" s="113"/>
      <c r="E40" s="114"/>
      <c r="F40" s="114"/>
      <c r="G40" s="114"/>
      <c r="H40" s="114"/>
      <c r="I40" s="114"/>
      <c r="J40" s="114"/>
      <c r="K40" s="114"/>
      <c r="L40" s="114"/>
      <c r="M40" s="114"/>
      <c r="N40" s="114"/>
      <c r="O40" s="114"/>
      <c r="P40" s="82"/>
      <c r="Q40" s="82"/>
      <c r="R40" s="82"/>
      <c r="S40" s="82"/>
      <c r="T40" s="82"/>
      <c r="U40" s="82"/>
      <c r="V40" s="82"/>
    </row>
    <row r="41" ht="15.75" customHeight="1" spans="1:22" x14ac:dyDescent="0.25">
      <c r="A41" s="82"/>
      <c r="B41" s="82"/>
      <c r="C41" s="82"/>
      <c r="D41" s="11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82"/>
      <c r="Q41" s="82"/>
      <c r="R41" s="82"/>
      <c r="S41" s="82"/>
      <c r="T41" s="82"/>
      <c r="U41" s="82"/>
      <c r="V41" s="82"/>
    </row>
    <row r="42" ht="15.75" customHeight="1" spans="1:22" x14ac:dyDescent="0.25">
      <c r="A42" s="82"/>
      <c r="B42" s="82"/>
      <c r="C42" s="82"/>
      <c r="D42" s="113"/>
      <c r="E42" s="114"/>
      <c r="F42" s="114"/>
      <c r="G42" s="114"/>
      <c r="H42" s="114"/>
      <c r="I42" s="114"/>
      <c r="J42" s="114"/>
      <c r="K42" s="114"/>
      <c r="L42" s="114"/>
      <c r="M42" s="114"/>
      <c r="N42" s="114"/>
      <c r="O42" s="114"/>
      <c r="P42" s="82"/>
      <c r="Q42" s="82"/>
      <c r="R42" s="82"/>
      <c r="S42" s="82"/>
      <c r="T42" s="82"/>
      <c r="U42" s="82"/>
      <c r="V42" s="82"/>
    </row>
    <row r="43" ht="15.75" customHeight="1" spans="1:22" x14ac:dyDescent="0.25">
      <c r="A43" s="82"/>
      <c r="B43" s="82"/>
      <c r="C43" s="82"/>
      <c r="D43" s="113"/>
      <c r="E43" s="114"/>
      <c r="F43" s="114"/>
      <c r="G43" s="114"/>
      <c r="H43" s="114"/>
      <c r="I43" s="114"/>
      <c r="J43" s="114"/>
      <c r="K43" s="114"/>
      <c r="L43" s="114"/>
      <c r="M43" s="114"/>
      <c r="N43" s="114"/>
      <c r="O43" s="114"/>
      <c r="P43" s="82"/>
      <c r="Q43" s="82"/>
      <c r="R43" s="82"/>
      <c r="S43" s="82"/>
      <c r="T43" s="82"/>
      <c r="U43" s="82"/>
      <c r="V43" s="82"/>
    </row>
    <row r="44" ht="15.75" customHeight="1" spans="1:22" x14ac:dyDescent="0.25">
      <c r="A44" s="82"/>
      <c r="B44" s="82"/>
      <c r="C44" s="82"/>
      <c r="D44" s="113"/>
      <c r="E44" s="114"/>
      <c r="F44" s="114"/>
      <c r="G44" s="114"/>
      <c r="H44" s="114"/>
      <c r="I44" s="114"/>
      <c r="J44" s="114"/>
      <c r="K44" s="114"/>
      <c r="L44" s="114"/>
      <c r="M44" s="114"/>
      <c r="N44" s="114"/>
      <c r="O44" s="114"/>
      <c r="P44" s="82"/>
      <c r="Q44" s="82"/>
      <c r="R44" s="82"/>
      <c r="S44" s="82"/>
      <c r="T44" s="82"/>
      <c r="U44" s="82"/>
      <c r="V44" s="82"/>
    </row>
    <row r="45" ht="15.75" customHeight="1" spans="1:22" x14ac:dyDescent="0.25">
      <c r="A45" s="82"/>
      <c r="B45" s="82"/>
      <c r="C45" s="82"/>
      <c r="D45" s="11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82"/>
      <c r="Q45" s="82"/>
      <c r="R45" s="82"/>
      <c r="S45" s="82"/>
      <c r="T45" s="82"/>
      <c r="U45" s="82"/>
      <c r="V45" s="82"/>
    </row>
    <row r="46" ht="15.75" customHeight="1" spans="1:22" x14ac:dyDescent="0.25">
      <c r="A46" s="82"/>
      <c r="B46" s="82"/>
      <c r="C46" s="82"/>
      <c r="D46" s="113"/>
      <c r="E46" s="114"/>
      <c r="F46" s="114"/>
      <c r="G46" s="114"/>
      <c r="H46" s="114"/>
      <c r="I46" s="114"/>
      <c r="J46" s="114"/>
      <c r="K46" s="114"/>
      <c r="L46" s="114"/>
      <c r="M46" s="114"/>
      <c r="N46" s="114"/>
      <c r="O46" s="114"/>
      <c r="P46" s="82"/>
      <c r="Q46" s="82"/>
      <c r="R46" s="82"/>
      <c r="S46" s="82"/>
      <c r="T46" s="82"/>
      <c r="U46" s="82"/>
      <c r="V46" s="82"/>
    </row>
    <row r="47" ht="15.75" customHeight="1" spans="1:15" x14ac:dyDescent="0.25">
      <c r="A47" s="82"/>
      <c r="B47" s="82"/>
      <c r="C47" s="82"/>
      <c r="D47" s="113"/>
      <c r="E47" s="114"/>
      <c r="F47" s="114"/>
      <c r="G47" s="114"/>
      <c r="H47" s="114"/>
      <c r="I47" s="114"/>
      <c r="J47" s="114"/>
      <c r="K47" s="114"/>
      <c r="L47" s="114"/>
      <c r="M47" s="114"/>
      <c r="N47" s="114"/>
      <c r="O47" s="114"/>
    </row>
    <row r="48" ht="15.75" customHeight="1" spans="1:15" x14ac:dyDescent="0.25">
      <c r="A48" s="82"/>
      <c r="B48" s="82"/>
      <c r="C48" s="82"/>
      <c r="D48" s="113"/>
      <c r="E48" s="114"/>
      <c r="F48" s="114"/>
      <c r="G48" s="114"/>
      <c r="H48" s="114"/>
      <c r="I48" s="114"/>
      <c r="J48" s="114"/>
      <c r="K48" s="114"/>
      <c r="L48" s="114"/>
      <c r="M48" s="114"/>
      <c r="N48" s="114"/>
      <c r="O48" s="114"/>
    </row>
    <row r="49" ht="15.75" customHeight="1" spans="1:15" x14ac:dyDescent="0.25">
      <c r="A49" s="82"/>
      <c r="B49" s="82"/>
      <c r="C49" s="82"/>
      <c r="D49" s="113"/>
      <c r="E49" s="114"/>
      <c r="F49" s="114"/>
      <c r="G49" s="114"/>
      <c r="H49" s="114"/>
      <c r="I49" s="114"/>
      <c r="J49" s="114"/>
      <c r="K49" s="114"/>
      <c r="L49" s="114"/>
      <c r="M49" s="114"/>
      <c r="N49" s="114"/>
      <c r="O49" s="114"/>
    </row>
    <row r="50" ht="15.75" customHeight="1" spans="4:15" x14ac:dyDescent="0.25">
      <c r="D50" s="113"/>
      <c r="E50" s="114"/>
      <c r="F50" s="114"/>
      <c r="G50" s="114"/>
      <c r="H50" s="114"/>
      <c r="I50" s="114"/>
      <c r="J50" s="114"/>
      <c r="K50" s="114"/>
      <c r="L50" s="114"/>
      <c r="M50" s="114"/>
      <c r="N50" s="114"/>
      <c r="O50" s="114"/>
    </row>
    <row r="51" ht="15.75" customHeight="1" spans="4:15" x14ac:dyDescent="0.25">
      <c r="D51" s="113"/>
      <c r="E51" s="114"/>
      <c r="F51" s="114"/>
      <c r="G51" s="114"/>
      <c r="H51" s="114"/>
      <c r="I51" s="114"/>
      <c r="J51" s="114"/>
      <c r="K51" s="114"/>
      <c r="L51" s="114"/>
      <c r="M51" s="114"/>
      <c r="N51" s="114"/>
      <c r="O51" s="114"/>
    </row>
    <row r="52" ht="15.75" customHeight="1" spans="4:15" x14ac:dyDescent="0.25">
      <c r="D52" s="115"/>
      <c r="E52" s="114"/>
      <c r="F52" s="114"/>
      <c r="G52" s="114"/>
      <c r="H52" s="114"/>
      <c r="I52" s="114"/>
      <c r="J52" s="114"/>
      <c r="K52" s="114"/>
      <c r="L52" s="114"/>
      <c r="M52" s="114"/>
      <c r="N52" s="114"/>
      <c r="O52" s="114"/>
    </row>
    <row r="53" ht="15.75" customHeight="1" spans="4:15" x14ac:dyDescent="0.25">
      <c r="D53" s="115"/>
      <c r="E53" s="114"/>
      <c r="F53" s="114"/>
      <c r="G53" s="114"/>
      <c r="H53" s="114"/>
      <c r="I53" s="114"/>
      <c r="J53" s="114"/>
      <c r="K53" s="114"/>
      <c r="L53" s="114"/>
      <c r="M53" s="114"/>
      <c r="N53" s="114"/>
      <c r="O53" s="114"/>
    </row>
  </sheetData>
  <mergeCells count="12">
    <mergeCell ref="D1:K2"/>
    <mergeCell ref="D21:J21"/>
    <mergeCell ref="D22:D24"/>
    <mergeCell ref="E22:E24"/>
    <mergeCell ref="F22:F24"/>
    <mergeCell ref="G22:G24"/>
    <mergeCell ref="H22:H24"/>
    <mergeCell ref="I22:I24"/>
    <mergeCell ref="J22:J24"/>
    <mergeCell ref="K22:K24"/>
    <mergeCell ref="L22:L24"/>
    <mergeCell ref="M22:M24"/>
  </mergeCells>
  <dataValidations count="1">
    <dataValidation type="decimal" allowBlank="1" showInputMessage="1" showErrorMessage="1" errorTitle="Error" error=" Please enter a numeric value between 0 and 99999999999999999 " sqref="L26">
      <formula1>0</formula1>
      <formula2>99999999999999900</formula2>
    </dataValidation>
  </dataValidations>
  <pageMargins left="0.75" right="0.75" top="1" bottom="1" header="0.5" footer="0.5"/>
  <pageSetup orientation="portrait" horizontalDpi="200" verticalDpi="200" scale="100" fitToWidth="1" fitToHeight="1" firstPageNumber="1" useFirstPageNumber="1" copies="1"/>
  <legacy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Views>
    <sheetView workbookViewId="0" zoomScale="100" zoomScaleNormal="100">
      <selection activeCell="O10" sqref="O10"/>
    </sheetView>
  </sheetViews>
  <sheetFormatPr defaultRowHeight="15" outlineLevelRow="0" outlineLevelCol="0" x14ac:dyDescent="0"/>
  <cols>
    <col min="1" max="3" width="9.28515625" hidden="1" customWidth="1"/>
    <col min="4" max="4" width="15.28515625" customWidth="1"/>
    <col min="5" max="5" width="30.7109375" customWidth="1"/>
    <col min="6" max="6" width="15.28515625" customWidth="1"/>
    <col min="7" max="7" width="21.28515625" customWidth="1"/>
    <col min="8" max="8" width="19.5703125" customWidth="1"/>
    <col min="9" max="9" width="22" customWidth="1"/>
    <col min="10" max="10" width="20" customWidth="1"/>
    <col min="11" max="11" width="22.7109375" customWidth="1"/>
  </cols>
  <sheetData>
    <row r="1" ht="30" customHeight="1" spans="1:11" x14ac:dyDescent="0.25">
      <c r="A1" s="1" t="s">
        <v>626</v>
      </c>
      <c r="D1" s="2" t="s">
        <v>627</v>
      </c>
      <c r="E1" s="2"/>
      <c r="F1" s="2"/>
      <c r="G1" s="2"/>
      <c r="H1" s="2"/>
      <c r="I1" s="2"/>
      <c r="J1" s="2"/>
      <c r="K1" s="2"/>
    </row>
    <row r="2" ht="30" customHeight="1" spans="4:11" x14ac:dyDescent="0.25">
      <c r="D2" s="2"/>
      <c r="E2" s="2"/>
      <c r="F2" s="2"/>
      <c r="G2" s="2"/>
      <c r="H2" s="2"/>
      <c r="I2" s="2"/>
      <c r="J2" s="2"/>
      <c r="K2" s="2"/>
    </row>
    <row r="4" spans="1:13" x14ac:dyDescent="0.25">
      <c r="A4" s="4"/>
      <c r="B4" s="4"/>
      <c r="C4" s="4" t="s">
        <v>628</v>
      </c>
      <c r="D4" s="4"/>
      <c r="E4" s="4"/>
      <c r="F4" s="4"/>
      <c r="G4" s="4"/>
      <c r="H4" s="4"/>
      <c r="I4" s="4"/>
      <c r="J4" s="4"/>
      <c r="K4" s="4"/>
      <c r="L4" s="4"/>
      <c r="M4" s="4"/>
    </row>
    <row r="5" hidden="1" spans="1:13" x14ac:dyDescent="0.25">
      <c r="A5" s="4"/>
      <c r="B5" s="4"/>
      <c r="C5" s="4"/>
      <c r="D5" s="4"/>
      <c r="E5" s="4"/>
      <c r="F5" s="4" t="s">
        <v>476</v>
      </c>
      <c r="G5" s="4" t="s">
        <v>471</v>
      </c>
      <c r="H5" s="4" t="s">
        <v>629</v>
      </c>
      <c r="I5" s="4"/>
      <c r="J5" s="4" t="s">
        <v>630</v>
      </c>
      <c r="K5" s="4" t="s">
        <v>631</v>
      </c>
      <c r="L5" s="4"/>
      <c r="M5" s="4"/>
    </row>
    <row r="6" hidden="1" spans="1:13" x14ac:dyDescent="0.25">
      <c r="A6" s="4"/>
      <c r="B6" s="4"/>
      <c r="C6" s="4"/>
      <c r="D6" s="4" t="s">
        <v>483</v>
      </c>
      <c r="E6" s="4" t="s">
        <v>484</v>
      </c>
      <c r="F6" s="4"/>
      <c r="G6" s="4"/>
      <c r="H6" s="4"/>
      <c r="I6" s="4" t="s">
        <v>632</v>
      </c>
      <c r="J6" s="4"/>
      <c r="K6" s="4"/>
      <c r="L6" s="4"/>
      <c r="M6" s="4"/>
    </row>
    <row r="7" hidden="1" spans="1:13" x14ac:dyDescent="0.25">
      <c r="A7" s="4"/>
      <c r="B7" s="4"/>
      <c r="C7" s="4" t="s">
        <v>3</v>
      </c>
      <c r="D7" s="4" t="s">
        <v>491</v>
      </c>
      <c r="E7" s="4" t="s">
        <v>491</v>
      </c>
      <c r="F7" s="4"/>
      <c r="G7" s="4"/>
      <c r="H7" s="4"/>
      <c r="I7" s="4" t="s">
        <v>491</v>
      </c>
      <c r="J7" s="4"/>
      <c r="K7" s="4"/>
      <c r="L7" s="4" t="s">
        <v>5</v>
      </c>
      <c r="M7" s="4" t="s">
        <v>6</v>
      </c>
    </row>
    <row r="8" ht="15.75" customHeight="1" spans="1:13" x14ac:dyDescent="0.25">
      <c r="A8" s="4"/>
      <c r="B8" s="4"/>
      <c r="C8" s="4" t="s">
        <v>4</v>
      </c>
      <c r="D8" s="116" t="s">
        <v>627</v>
      </c>
      <c r="E8" s="116"/>
      <c r="F8" s="116"/>
      <c r="G8" s="116"/>
      <c r="H8" s="116"/>
      <c r="I8" s="116"/>
      <c r="J8" s="116"/>
      <c r="K8" s="117" t="s">
        <v>418</v>
      </c>
      <c r="M8" s="4"/>
    </row>
    <row r="9" ht="63" customHeight="1" spans="1:13" x14ac:dyDescent="0.25">
      <c r="A9" s="4"/>
      <c r="B9" s="4"/>
      <c r="C9" s="4" t="s">
        <v>4</v>
      </c>
      <c r="D9" s="118" t="s">
        <v>633</v>
      </c>
      <c r="E9" s="118" t="s">
        <v>634</v>
      </c>
      <c r="F9" s="118" t="s">
        <v>635</v>
      </c>
      <c r="G9" s="118" t="s">
        <v>530</v>
      </c>
      <c r="H9" s="118" t="s">
        <v>636</v>
      </c>
      <c r="I9" s="118" t="s">
        <v>637</v>
      </c>
      <c r="J9" s="118" t="s">
        <v>638</v>
      </c>
      <c r="K9" s="118" t="s">
        <v>639</v>
      </c>
      <c r="M9" s="4"/>
    </row>
    <row r="10" spans="1:13" x14ac:dyDescent="0.25">
      <c r="A10" s="4"/>
      <c r="B10" s="4"/>
      <c r="C10" s="4"/>
      <c r="D10" s="107"/>
      <c r="E10" s="105"/>
      <c r="F10" s="105"/>
      <c r="G10" s="105"/>
      <c r="H10" s="105"/>
      <c r="I10" s="105"/>
      <c r="J10" s="105"/>
      <c r="K10" s="105"/>
      <c r="M10" s="4"/>
    </row>
    <row r="11" ht="15" customHeight="1" spans="1:13" x14ac:dyDescent="0.25">
      <c r="A11" s="4"/>
      <c r="B11" s="4"/>
      <c r="C11" s="4"/>
      <c r="D11" s="119"/>
      <c r="E11" s="119"/>
      <c r="F11" s="120"/>
      <c r="G11" s="120"/>
      <c r="H11" s="121"/>
      <c r="I11" s="122"/>
      <c r="J11" s="122"/>
      <c r="K11" s="122"/>
      <c r="M11" s="4"/>
    </row>
    <row r="12" ht="15" customHeight="1" spans="1:13" x14ac:dyDescent="0.25">
      <c r="A12" s="4"/>
      <c r="B12" s="4"/>
      <c r="C12" s="4"/>
      <c r="D12" s="119"/>
      <c r="E12" s="119"/>
      <c r="F12" s="120"/>
      <c r="G12" s="120"/>
      <c r="H12" s="121"/>
      <c r="I12" s="67"/>
      <c r="J12" s="70"/>
      <c r="K12" s="9"/>
      <c r="M12" s="4"/>
    </row>
    <row r="13" spans="1:13" x14ac:dyDescent="0.25">
      <c r="A13" s="4"/>
      <c r="B13" s="4"/>
      <c r="C13" s="4"/>
      <c r="D13" s="119"/>
      <c r="E13" s="119"/>
      <c r="F13" s="120"/>
      <c r="G13" s="120"/>
      <c r="H13" s="121"/>
      <c r="I13" s="67"/>
      <c r="J13" s="70"/>
      <c r="K13" s="9"/>
      <c r="M13" s="4"/>
    </row>
    <row r="14" hidden="1" spans="1:13" x14ac:dyDescent="0.25">
      <c r="A14" s="4"/>
      <c r="B14" s="4"/>
      <c r="C14" s="4" t="s">
        <v>5</v>
      </c>
      <c r="M14" s="4"/>
    </row>
    <row r="15" hidden="1" spans="1:13" x14ac:dyDescent="0.25">
      <c r="A15" s="4"/>
      <c r="B15" s="4"/>
      <c r="C15" s="4" t="s">
        <v>37</v>
      </c>
      <c r="D15" s="4"/>
      <c r="E15" s="4"/>
      <c r="F15" s="4"/>
      <c r="G15" s="4"/>
      <c r="H15" s="4"/>
      <c r="I15" s="4"/>
      <c r="J15" s="4"/>
      <c r="K15" s="4"/>
      <c r="L15" s="4"/>
      <c r="M15" s="4" t="s">
        <v>38</v>
      </c>
    </row>
    <row r="25" spans="4:4" x14ac:dyDescent="0.25">
      <c r="D25" s="123"/>
    </row>
    <row r="26" spans="4:11" x14ac:dyDescent="0.25">
      <c r="D26" s="124"/>
      <c r="E26" s="125"/>
      <c r="F26" s="125"/>
      <c r="G26" s="125"/>
      <c r="H26" s="125"/>
      <c r="I26" s="125"/>
      <c r="J26" s="125"/>
      <c r="K26" s="125"/>
    </row>
    <row r="27" spans="4:11" x14ac:dyDescent="0.25">
      <c r="D27" s="124"/>
      <c r="E27" s="125"/>
      <c r="F27" s="125"/>
      <c r="G27" s="125"/>
      <c r="H27" s="125"/>
      <c r="I27" s="125"/>
      <c r="J27" s="125"/>
      <c r="K27" s="125"/>
    </row>
    <row r="28" spans="4:5" x14ac:dyDescent="0.25">
      <c r="D28" s="124"/>
      <c r="E28" s="125"/>
    </row>
    <row r="29" spans="4:5" x14ac:dyDescent="0.25">
      <c r="D29" s="124"/>
      <c r="E29" s="125"/>
    </row>
  </sheetData>
  <mergeCells count="2">
    <mergeCell ref="D1:K2"/>
    <mergeCell ref="D8:J8"/>
  </mergeCells>
  <dataValidations count="4">
    <dataValidation type="decimal" allowBlank="1" showInputMessage="1" showErrorMessage="1" error="Please enter value between 0 and 999999999999999" sqref="F11:F13">
      <formula1>0</formula1>
      <formula2>999999999999999</formula2>
    </dataValidation>
    <dataValidation type="decimal" allowBlank="1" showInputMessage="1" showErrorMessage="1" error="Please enter value between 0 and 999999999999999" sqref="G11:G13">
      <formula1>0</formula1>
      <formula2>99999999999999900</formula2>
    </dataValidation>
    <dataValidation type="textLength" operator="equal" allowBlank="1" showInputMessage="1" showErrorMessage="1" errorTitle="Input Error" error="Please enter value with length =8" sqref="J12:J13">
      <formula1>8</formula1>
    </dataValidation>
    <dataValidation type="list" allowBlank="1" showInputMessage="1" showErrorMessage="1" errorTitle="Input Error" error="Please enter a valid value from dropdown" sqref="K12:K13">
      <formula1>"Full time,Non-executive,Independent,Government nominee,Officer employee,Workman employee,Shareholder,Part time,Other"</formula1>
    </dataValidation>
  </dataValidations>
  <pageMargins left="0.75" right="0.75" top="1" bottom="1" header="0.5" footer="0.5"/>
  <pageSetup orientation="portrait" horizontalDpi="300" verticalDpi="300" scale="100" fitToWidth="1" fitToHeight="1" firstPageNumber="1" useFirstPageNumber="1" copies="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workbookViewId="0" showGridLines="0" zoomScale="100" zoomScaleNormal="100">
      <selection activeCell="E34" sqref="E34"/>
    </sheetView>
  </sheetViews>
  <sheetFormatPr defaultRowHeight="15" outlineLevelRow="0" outlineLevelCol="0" x14ac:dyDescent="0"/>
  <cols>
    <col min="1" max="1" width="17.5703125" hidden="1" customWidth="1"/>
    <col min="2" max="2" width="15" hidden="1" customWidth="1"/>
    <col min="3" max="3" width="14.7109375" hidden="1" customWidth="1"/>
    <col min="4" max="4" width="36.42578125" customWidth="1"/>
    <col min="5" max="5" width="30.7109375" customWidth="1"/>
  </cols>
  <sheetData>
    <row r="1" ht="30" customHeight="1" spans="1:5" x14ac:dyDescent="0.25">
      <c r="A1" s="1" t="s">
        <v>0</v>
      </c>
      <c r="D1" s="2" t="s">
        <v>1</v>
      </c>
      <c r="E1" s="2"/>
    </row>
    <row r="2" ht="30" customHeight="1" spans="4:5" x14ac:dyDescent="0.25">
      <c r="D2" s="3"/>
      <c r="E2" s="3"/>
    </row>
    <row r="4" hidden="1" spans="1:7" x14ac:dyDescent="0.25">
      <c r="A4" s="4"/>
      <c r="B4" s="4"/>
      <c r="C4" s="4" t="s">
        <v>2</v>
      </c>
      <c r="D4" s="4"/>
      <c r="E4" s="4"/>
      <c r="F4" s="4"/>
      <c r="G4" s="4"/>
    </row>
    <row r="5" hidden="1" spans="1:7" x14ac:dyDescent="0.25">
      <c r="A5" s="4"/>
      <c r="B5" s="4"/>
      <c r="C5" s="4"/>
      <c r="D5" s="4"/>
      <c r="E5" s="4"/>
      <c r="F5" s="4"/>
      <c r="G5" s="4"/>
    </row>
    <row r="6" hidden="1" spans="1:7" x14ac:dyDescent="0.25">
      <c r="A6" s="4"/>
      <c r="B6" s="4"/>
      <c r="C6" s="4"/>
      <c r="D6" s="4"/>
      <c r="E6" s="4"/>
      <c r="F6" s="4"/>
      <c r="G6" s="4"/>
    </row>
    <row r="7" hidden="1" spans="1:7" x14ac:dyDescent="0.25">
      <c r="A7" s="4"/>
      <c r="B7" s="4"/>
      <c r="C7" s="4" t="s">
        <v>3</v>
      </c>
      <c r="D7" s="4" t="s">
        <v>4</v>
      </c>
      <c r="E7" s="4"/>
      <c r="F7" s="4" t="s">
        <v>5</v>
      </c>
      <c r="G7" s="4" t="s">
        <v>6</v>
      </c>
    </row>
    <row r="8" hidden="1" spans="1:7" x14ac:dyDescent="0.25">
      <c r="A8" s="5"/>
      <c r="B8" s="4"/>
      <c r="C8" s="4" t="s">
        <v>5</v>
      </c>
      <c r="G8" s="4"/>
    </row>
    <row r="9" spans="1:7" x14ac:dyDescent="0.25">
      <c r="A9" s="4" t="s">
        <v>7</v>
      </c>
      <c r="B9" s="4"/>
      <c r="C9" s="4"/>
      <c r="D9" s="6" t="s">
        <v>8</v>
      </c>
      <c r="E9" s="7" t="s">
        <v>9</v>
      </c>
      <c r="G9" s="4"/>
    </row>
    <row r="10" spans="1:7" x14ac:dyDescent="0.25">
      <c r="A10" s="4" t="s">
        <v>10</v>
      </c>
      <c r="B10" s="4"/>
      <c r="C10" s="4"/>
      <c r="D10" s="6" t="s">
        <v>11</v>
      </c>
      <c r="E10" s="7" t="s">
        <v>12</v>
      </c>
      <c r="G10" s="4"/>
    </row>
    <row r="11" spans="1:7" x14ac:dyDescent="0.25">
      <c r="A11" s="4" t="s">
        <v>13</v>
      </c>
      <c r="B11" s="4"/>
      <c r="C11" s="4"/>
      <c r="D11" s="6" t="s">
        <v>14</v>
      </c>
      <c r="E11" s="8">
        <v>0</v>
      </c>
      <c r="G11" s="4"/>
    </row>
    <row r="12" spans="1:7" x14ac:dyDescent="0.25">
      <c r="A12" s="4" t="s">
        <v>15</v>
      </c>
      <c r="B12" s="4"/>
      <c r="C12" s="4"/>
      <c r="D12" s="6" t="s">
        <v>16</v>
      </c>
      <c r="E12" s="9"/>
      <c r="G12" s="4"/>
    </row>
    <row r="13" spans="1:7" x14ac:dyDescent="0.25">
      <c r="A13" s="5" t="s">
        <v>17</v>
      </c>
      <c r="B13" s="4"/>
      <c r="C13" s="4"/>
      <c r="D13" s="6" t="s">
        <v>18</v>
      </c>
      <c r="E13" s="7">
        <v>0</v>
      </c>
      <c r="G13" s="4"/>
    </row>
    <row r="14" spans="1:7" x14ac:dyDescent="0.25">
      <c r="A14" s="5" t="s">
        <v>19</v>
      </c>
      <c r="B14" s="4"/>
      <c r="C14" s="4"/>
      <c r="D14" s="6" t="s">
        <v>20</v>
      </c>
      <c r="E14" s="10">
        <v>0</v>
      </c>
      <c r="G14" s="4"/>
    </row>
    <row r="15" spans="1:7" x14ac:dyDescent="0.25">
      <c r="A15" s="4" t="s">
        <v>21</v>
      </c>
      <c r="B15" s="4"/>
      <c r="C15" s="4"/>
      <c r="D15" s="6" t="s">
        <v>22</v>
      </c>
      <c r="E15" s="11" t="s">
        <v>23</v>
      </c>
      <c r="G15" s="4"/>
    </row>
    <row r="16" spans="1:7" x14ac:dyDescent="0.25">
      <c r="A16" s="5" t="s">
        <v>24</v>
      </c>
      <c r="B16" s="4"/>
      <c r="C16" s="4"/>
      <c r="D16" s="6" t="s">
        <v>25</v>
      </c>
      <c r="E16" s="12"/>
      <c r="G16" s="4"/>
    </row>
    <row r="17" spans="1:7" x14ac:dyDescent="0.25">
      <c r="A17" s="5" t="s">
        <v>26</v>
      </c>
      <c r="B17" s="4"/>
      <c r="C17" s="4"/>
      <c r="D17" s="6" t="s">
        <v>27</v>
      </c>
      <c r="E17" s="13"/>
      <c r="G17" s="4"/>
    </row>
    <row r="18" spans="1:7" x14ac:dyDescent="0.25">
      <c r="A18" s="4" t="s">
        <v>28</v>
      </c>
      <c r="B18" s="4"/>
      <c r="C18" s="4"/>
      <c r="D18" s="6" t="s">
        <v>29</v>
      </c>
      <c r="E18" s="11" t="s">
        <v>30</v>
      </c>
      <c r="G18" s="4"/>
    </row>
    <row r="19" spans="1:7" x14ac:dyDescent="0.25">
      <c r="A19" s="5" t="s">
        <v>31</v>
      </c>
      <c r="B19" s="4"/>
      <c r="C19" s="4"/>
      <c r="D19" s="6" t="s">
        <v>32</v>
      </c>
      <c r="E19" s="9"/>
      <c r="G19" s="4"/>
    </row>
    <row r="20" spans="1:7" x14ac:dyDescent="0.25">
      <c r="A20" s="5" t="s">
        <v>33</v>
      </c>
      <c r="B20" s="4"/>
      <c r="C20" s="4"/>
      <c r="D20" s="6" t="s">
        <v>34</v>
      </c>
      <c r="E20" s="14"/>
      <c r="G20" s="4"/>
    </row>
    <row r="21" spans="1:7" x14ac:dyDescent="0.25">
      <c r="A21" s="4" t="s">
        <v>35</v>
      </c>
      <c r="B21" s="4"/>
      <c r="C21" s="4"/>
      <c r="D21" s="15" t="s">
        <v>36</v>
      </c>
      <c r="E21" s="16">
        <v>0</v>
      </c>
      <c r="G21" s="4"/>
    </row>
    <row r="22" hidden="1" spans="1:7" x14ac:dyDescent="0.25">
      <c r="A22" s="5"/>
      <c r="B22" s="4"/>
      <c r="C22" s="4" t="s">
        <v>5</v>
      </c>
      <c r="G22" s="4"/>
    </row>
    <row r="23" hidden="1" spans="1:7" x14ac:dyDescent="0.25">
      <c r="A23" s="5"/>
      <c r="B23" s="4"/>
      <c r="C23" s="4" t="s">
        <v>37</v>
      </c>
      <c r="D23" s="4"/>
      <c r="E23" s="4"/>
      <c r="F23" s="4"/>
      <c r="G23" s="4" t="s">
        <v>38</v>
      </c>
    </row>
    <row r="25" spans="4:5" x14ac:dyDescent="0.25">
      <c r="D25" s="17" t="s">
        <v>39</v>
      </c>
      <c r="E25" s="18"/>
    </row>
    <row r="28" spans="1:7" x14ac:dyDescent="0.25">
      <c r="A28" s="19"/>
      <c r="B28" s="19"/>
      <c r="C28" s="19"/>
      <c r="D28" s="19"/>
      <c r="E28" s="19"/>
      <c r="F28" s="19"/>
      <c r="G28" s="19"/>
    </row>
  </sheetData>
  <mergeCells count="2">
    <mergeCell ref="D1:E2"/>
    <mergeCell ref="D25:E25"/>
  </mergeCells>
  <dataValidations count="1">
    <dataValidation showInputMessage="1" showErrorMessage="1" errorTitle="Input Error" error="Please enter a valid value from dropdown" sqref="E16:E18"/>
  </dataValidations>
  <pageMargins left="0.75" right="0.75" top="1" bottom="1" header="0.5" footer="0.5"/>
  <pageSetup orientation="portrait" horizontalDpi="300" verticalDpi="300" scale="100" fitToWidth="1" fitToHeight="1" firstPageNumber="1" useFirstPageNumber="1" copies="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 showGridLines="0" zoomScale="100" zoomScaleNormal="100">
      <selection activeCell="E10" sqref="E10"/>
    </sheetView>
  </sheetViews>
  <sheetFormatPr defaultRowHeight="15" outlineLevelRow="0" outlineLevelCol="0" x14ac:dyDescent="0"/>
  <cols>
    <col min="1" max="1" width="31.42578125" style="126" hidden="1" customWidth="1"/>
    <col min="2" max="2" width="16.28515625" hidden="1" customWidth="1"/>
    <col min="3" max="3" width="17" hidden="1" customWidth="1"/>
    <col min="4" max="4" width="31.28515625" customWidth="1"/>
    <col min="5" max="5" width="29.7109375" customWidth="1"/>
  </cols>
  <sheetData>
    <row r="1" ht="30" customHeight="1" spans="1:5" x14ac:dyDescent="0.25">
      <c r="A1" s="127" t="s">
        <v>640</v>
      </c>
      <c r="D1" s="2" t="s">
        <v>641</v>
      </c>
      <c r="E1" s="2"/>
    </row>
    <row r="2" ht="30" customHeight="1" spans="4:5" x14ac:dyDescent="0.25">
      <c r="D2" s="2"/>
      <c r="E2" s="2"/>
    </row>
    <row r="5" hidden="1" spans="1:7" x14ac:dyDescent="0.25">
      <c r="A5" s="4"/>
      <c r="B5" s="4"/>
      <c r="C5" s="4" t="s">
        <v>642</v>
      </c>
      <c r="D5" s="4"/>
      <c r="E5" s="4"/>
      <c r="F5" s="4"/>
      <c r="G5" s="4"/>
    </row>
    <row r="6" hidden="1" spans="1:7" x14ac:dyDescent="0.25">
      <c r="A6" s="4"/>
      <c r="B6" s="4"/>
      <c r="C6" s="4"/>
      <c r="D6" s="4"/>
      <c r="E6" s="4"/>
      <c r="F6" s="4"/>
      <c r="G6" s="4"/>
    </row>
    <row r="7" hidden="1" spans="1:7" x14ac:dyDescent="0.25">
      <c r="A7" s="4"/>
      <c r="B7" s="4"/>
      <c r="C7" s="4"/>
      <c r="D7" s="4"/>
      <c r="E7" s="4"/>
      <c r="F7" s="4"/>
      <c r="G7" s="4"/>
    </row>
    <row r="8" hidden="1" spans="1:7" x14ac:dyDescent="0.25">
      <c r="A8" s="4"/>
      <c r="B8" s="4"/>
      <c r="C8" s="4" t="s">
        <v>3</v>
      </c>
      <c r="D8" s="4" t="s">
        <v>4</v>
      </c>
      <c r="E8" s="4"/>
      <c r="F8" s="4" t="s">
        <v>5</v>
      </c>
      <c r="G8" s="4" t="s">
        <v>6</v>
      </c>
    </row>
    <row r="9" spans="1:7" x14ac:dyDescent="0.25">
      <c r="A9" s="4"/>
      <c r="B9" s="4"/>
      <c r="C9" s="4" t="s">
        <v>5</v>
      </c>
      <c r="G9" s="4"/>
    </row>
    <row r="10" spans="1:7" x14ac:dyDescent="0.25">
      <c r="A10" s="4" t="s">
        <v>643</v>
      </c>
      <c r="B10" s="4"/>
      <c r="C10" s="4"/>
      <c r="D10" s="6" t="s">
        <v>644</v>
      </c>
      <c r="E10" s="128"/>
      <c r="G10" s="4"/>
    </row>
    <row r="11" spans="1:7" x14ac:dyDescent="0.25">
      <c r="A11" s="4" t="s">
        <v>645</v>
      </c>
      <c r="B11" s="4"/>
      <c r="C11" s="4"/>
      <c r="D11" s="6" t="s">
        <v>646</v>
      </c>
      <c r="E11" s="128"/>
      <c r="G11" s="4"/>
    </row>
    <row r="12" spans="1:7" x14ac:dyDescent="0.25">
      <c r="A12" s="4" t="s">
        <v>647</v>
      </c>
      <c r="B12" s="4"/>
      <c r="C12" s="4"/>
      <c r="D12" s="6" t="s">
        <v>648</v>
      </c>
      <c r="E12" s="129"/>
      <c r="G12" s="4"/>
    </row>
    <row r="13" spans="1:7" x14ac:dyDescent="0.25">
      <c r="A13" s="4" t="s">
        <v>649</v>
      </c>
      <c r="B13" s="4"/>
      <c r="C13" s="4"/>
      <c r="D13" s="6" t="s">
        <v>650</v>
      </c>
      <c r="E13" s="129"/>
      <c r="G13" s="4"/>
    </row>
    <row r="14" spans="1:7" x14ac:dyDescent="0.25">
      <c r="A14" s="4" t="s">
        <v>651</v>
      </c>
      <c r="B14" s="4"/>
      <c r="C14" s="4"/>
      <c r="D14" s="130" t="s">
        <v>652</v>
      </c>
      <c r="E14" s="131"/>
      <c r="G14" s="4"/>
    </row>
    <row r="15" spans="1:7" x14ac:dyDescent="0.25">
      <c r="A15" s="4"/>
      <c r="B15" s="4"/>
      <c r="C15" s="4" t="s">
        <v>5</v>
      </c>
      <c r="G15" s="4"/>
    </row>
    <row r="16" spans="1:7" x14ac:dyDescent="0.25">
      <c r="A16" s="4"/>
      <c r="B16" s="4"/>
      <c r="C16" s="4" t="s">
        <v>37</v>
      </c>
      <c r="D16" s="4"/>
      <c r="E16" s="4"/>
      <c r="F16" s="4"/>
      <c r="G16" s="4" t="s">
        <v>38</v>
      </c>
    </row>
  </sheetData>
  <mergeCells count="1">
    <mergeCell ref="D1:E2"/>
  </mergeCells>
  <dataValidations count="1">
    <dataValidation type="whole" allowBlank="1" showInputMessage="1" showErrorMessage="1" errorTitle="Input Error" error="Please enter a Whole Number between 1000000000 and 9999999999" sqref="E12:E13">
      <formula1>1000000000</formula1>
      <formula2>9999999999</formula2>
    </dataValidation>
  </dataValidations>
  <pageMargins left="0.75" right="0.75" top="1" bottom="1" header="0.5" footer="0.5"/>
  <pageSetup orientation="portrait" horizontalDpi="300" verticalDpi="300" scale="100" fitToWidth="1" fitToHeight="1" firstPageNumber="1" useFirstPageNumber="1" copies="1"/>
  <legacyDrawing r:id="rId2"/>
</worksheet>
</file>

<file path=docMetadata/LabelInfo.xml><?xml version="1.0" encoding="utf-8"?>
<clbl:labelList xmlns:clbl="http://schemas.microsoft.com/office/2020/mipLabelMetadata">
  <clbl:label id="{b7813a43-de38-4c9d-bbd9-a0daaff58f6b}" enabled="1" method="Standard" siteId="{5baa5c43-03e4-4b21-a821-a9de32331f6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General Information</vt:lpstr>
      <vt:lpstr>MainSheet</vt:lpstr>
      <vt:lpstr>StartUp</vt:lpstr>
      <vt:lpstr>Sec-1 Exp_LargeBorr</vt:lpstr>
      <vt:lpstr>Sec-2 WriteOff</vt:lpstr>
      <vt:lpstr>Sec-3 NonCo-op Borr</vt:lpstr>
      <vt:lpstr>Authorised Signatory</vt:lpstr>
      <vt:lpstr>Data</vt:lpstr>
      <vt:lpstr>+FootnoteTexts</vt:lpstr>
      <vt:lpstr>+Elements</vt:lpstr>
      <vt:lpstr>+Lineitems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Kalyani Ghagare</dc:creator>
  <cp:lastModifiedBy>Dnyaneshwar Panchal</cp:lastModifiedBy>
  <dcterms:created xsi:type="dcterms:W3CDTF">2010-12-09T08:47:06Z</dcterms:created>
  <dcterms:modified xsi:type="dcterms:W3CDTF">2026-07-20T05:58:44Z</dcterms:modified>
</cp:coreProperties>
</file>